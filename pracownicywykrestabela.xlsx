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5F8A013F-191A-4D42-9F3B-DA8674D62E7E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Arkusz1" sheetId="1" r:id="rId1"/>
    <sheet name="wykres + średnie " sheetId="6" r:id="rId2"/>
    <sheet name="tabela przestawna" sheetId="5" r:id="rId3"/>
    <sheet name="wynagrodzenia" sheetId="4" r:id="rId4"/>
    <sheet name="pracownicy" sheetId="2" r:id="rId5"/>
    <sheet name="stanowiska" sheetId="3" r:id="rId6"/>
  </sheets>
  <calcPr calcId="191028"/>
  <pivotCaches>
    <pivotCache cacheId="259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6" l="1"/>
  <c r="N17" i="6"/>
  <c r="K60" i="6"/>
  <c r="H9" i="6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6" i="1"/>
  <c r="N105" i="1"/>
  <c r="N104" i="1"/>
  <c r="N103" i="1"/>
  <c r="N102" i="1"/>
  <c r="N101" i="1"/>
  <c r="N99" i="1"/>
  <c r="N98" i="1"/>
  <c r="N97" i="1"/>
  <c r="N96" i="1"/>
  <c r="N95" i="1"/>
  <c r="N94" i="1"/>
  <c r="N93" i="1"/>
  <c r="N92" i="1"/>
  <c r="N90" i="1"/>
  <c r="N89" i="1"/>
  <c r="N87" i="1"/>
  <c r="N86" i="1"/>
  <c r="N85" i="1"/>
  <c r="N84" i="1"/>
  <c r="N83" i="1"/>
  <c r="N82" i="1"/>
  <c r="N81" i="1"/>
  <c r="N80" i="1"/>
  <c r="N79" i="1"/>
  <c r="N78" i="1"/>
  <c r="N76" i="1"/>
  <c r="N75" i="1"/>
  <c r="N74" i="1"/>
  <c r="N73" i="1"/>
  <c r="N72" i="1"/>
  <c r="N71" i="1"/>
  <c r="N70" i="1"/>
  <c r="N69" i="1"/>
  <c r="N68" i="1"/>
  <c r="N67" i="1"/>
  <c r="N66" i="1"/>
  <c r="N65" i="1"/>
  <c r="N63" i="1"/>
  <c r="N62" i="1"/>
  <c r="N61" i="1"/>
  <c r="N60" i="1"/>
  <c r="N59" i="1"/>
  <c r="N58" i="1"/>
  <c r="N57" i="1"/>
  <c r="N56" i="1"/>
  <c r="N55" i="1"/>
  <c r="N54" i="1"/>
  <c r="N52" i="1"/>
  <c r="N51" i="1"/>
  <c r="N50" i="1"/>
  <c r="N48" i="1"/>
  <c r="N47" i="1"/>
  <c r="N46" i="1"/>
  <c r="N45" i="1"/>
  <c r="N44" i="1"/>
  <c r="N43" i="1"/>
  <c r="N42" i="1"/>
  <c r="N41" i="1"/>
  <c r="N40" i="1"/>
  <c r="N39" i="1"/>
  <c r="N37" i="1"/>
  <c r="N36" i="1"/>
  <c r="N35" i="1"/>
  <c r="N34" i="1"/>
  <c r="N33" i="1"/>
  <c r="N32" i="1"/>
  <c r="N31" i="1"/>
  <c r="N30" i="1"/>
  <c r="N29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1" i="1"/>
  <c r="N10" i="1"/>
  <c r="N9" i="1"/>
  <c r="N8" i="1"/>
  <c r="N7" i="1"/>
  <c r="N6" i="1"/>
  <c r="N5" i="1"/>
  <c r="N4" i="1"/>
  <c r="N2" i="1"/>
  <c r="N3" i="1"/>
  <c r="N12" i="1"/>
  <c r="N28" i="1"/>
  <c r="N38" i="1"/>
  <c r="N49" i="1"/>
  <c r="N53" i="1"/>
  <c r="N64" i="1"/>
  <c r="N77" i="1"/>
  <c r="N88" i="1"/>
  <c r="N91" i="1"/>
  <c r="N100" i="1"/>
  <c r="N107" i="1"/>
</calcChain>
</file>

<file path=xl/sharedStrings.xml><?xml version="1.0" encoding="utf-8"?>
<sst xmlns="http://schemas.openxmlformats.org/spreadsheetml/2006/main" count="1862" uniqueCount="312">
  <si>
    <t>Lp</t>
  </si>
  <si>
    <t>Nazwisko</t>
  </si>
  <si>
    <t>Imie</t>
  </si>
  <si>
    <t>data_ur</t>
  </si>
  <si>
    <t>miejsce_ur</t>
  </si>
  <si>
    <t>miejscowosc</t>
  </si>
  <si>
    <t>żona/mąż</t>
  </si>
  <si>
    <t>dzieci</t>
  </si>
  <si>
    <t>jezyk</t>
  </si>
  <si>
    <t>zatrudniony</t>
  </si>
  <si>
    <t>dzial</t>
  </si>
  <si>
    <t>stanowisko</t>
  </si>
  <si>
    <t>Rocznie</t>
  </si>
  <si>
    <t xml:space="preserve">Dochód na każdego członka rodziny </t>
  </si>
  <si>
    <t>Ukończone lata</t>
  </si>
  <si>
    <t>Adranowicz</t>
  </si>
  <si>
    <t>Halina</t>
  </si>
  <si>
    <t>Skierniewice</t>
  </si>
  <si>
    <t>Chełm</t>
  </si>
  <si>
    <t>tak</t>
  </si>
  <si>
    <t>angielski</t>
  </si>
  <si>
    <t>kadry</t>
  </si>
  <si>
    <t>referent</t>
  </si>
  <si>
    <t>Andrzejczak</t>
  </si>
  <si>
    <t>Agnieszka</t>
  </si>
  <si>
    <t>Szczecin</t>
  </si>
  <si>
    <t>Chojna</t>
  </si>
  <si>
    <t>nie</t>
  </si>
  <si>
    <t>niemiecki, angielski</t>
  </si>
  <si>
    <t>Helena</t>
  </si>
  <si>
    <t>Pyrzyce</t>
  </si>
  <si>
    <t>Świdnik</t>
  </si>
  <si>
    <t>produkcja</t>
  </si>
  <si>
    <t>krawcowa</t>
  </si>
  <si>
    <t>Banasiak</t>
  </si>
  <si>
    <t>Choszczno</t>
  </si>
  <si>
    <t>Biała Podlaska</t>
  </si>
  <si>
    <t> </t>
  </si>
  <si>
    <t>z-ca dyrektora</t>
  </si>
  <si>
    <t>Feliks</t>
  </si>
  <si>
    <t>Banie</t>
  </si>
  <si>
    <t xml:space="preserve">niemiecki </t>
  </si>
  <si>
    <t>Banaszak</t>
  </si>
  <si>
    <t>Aleksander</t>
  </si>
  <si>
    <t>Wałcz</t>
  </si>
  <si>
    <t>niemiecki</t>
  </si>
  <si>
    <t>transport</t>
  </si>
  <si>
    <t>kierowca</t>
  </si>
  <si>
    <t>Biedrzycki</t>
  </si>
  <si>
    <t>Zbigniew</t>
  </si>
  <si>
    <t>Boguszów</t>
  </si>
  <si>
    <t>francuski, angielski</t>
  </si>
  <si>
    <t>Bogucewicz</t>
  </si>
  <si>
    <t>Cecylia</t>
  </si>
  <si>
    <t>Bydgoszcz</t>
  </si>
  <si>
    <t>wykrawacz</t>
  </si>
  <si>
    <t>Bogusławski</t>
  </si>
  <si>
    <t>Karol</t>
  </si>
  <si>
    <t>Łódź</t>
  </si>
  <si>
    <t>hiszpański</t>
  </si>
  <si>
    <t xml:space="preserve">Borkowski </t>
  </si>
  <si>
    <t>Stanisław</t>
  </si>
  <si>
    <t>Bugalska</t>
  </si>
  <si>
    <t>Ewa</t>
  </si>
  <si>
    <t>angielski, rosyjski</t>
  </si>
  <si>
    <t>Bugalski</t>
  </si>
  <si>
    <t>Leszek</t>
  </si>
  <si>
    <t>Barlinek</t>
  </si>
  <si>
    <t>zaopatrzenie</t>
  </si>
  <si>
    <t>zaopatrzeniowiec</t>
  </si>
  <si>
    <t>Chojnacka</t>
  </si>
  <si>
    <t>Edyta</t>
  </si>
  <si>
    <t>Cichocki</t>
  </si>
  <si>
    <t>Marian</t>
  </si>
  <si>
    <t>Czarnków</t>
  </si>
  <si>
    <t>Cieślak</t>
  </si>
  <si>
    <t>Małgorzata</t>
  </si>
  <si>
    <t>Chorzów</t>
  </si>
  <si>
    <t>prasowacz</t>
  </si>
  <si>
    <t>Cieślewicz</t>
  </si>
  <si>
    <t>Magdalena</t>
  </si>
  <si>
    <t>francuski</t>
  </si>
  <si>
    <t>Dańczura</t>
  </si>
  <si>
    <t>Paweł</t>
  </si>
  <si>
    <t>Długosz</t>
  </si>
  <si>
    <t>Aneta</t>
  </si>
  <si>
    <t>Radom</t>
  </si>
  <si>
    <t>magazyn</t>
  </si>
  <si>
    <t>magazynier</t>
  </si>
  <si>
    <t>Ludwik</t>
  </si>
  <si>
    <t>Cedynia</t>
  </si>
  <si>
    <t>Dragon</t>
  </si>
  <si>
    <t>Józef</t>
  </si>
  <si>
    <t>Białogard</t>
  </si>
  <si>
    <t>księgowa</t>
  </si>
  <si>
    <t>Dziuba</t>
  </si>
  <si>
    <t>Bożena</t>
  </si>
  <si>
    <t>Bolesławiec</t>
  </si>
  <si>
    <t>Ejsmont</t>
  </si>
  <si>
    <t>Barbara</t>
  </si>
  <si>
    <t>Engel</t>
  </si>
  <si>
    <t>Piotr</t>
  </si>
  <si>
    <t>Falkiewicz</t>
  </si>
  <si>
    <t>Stefan</t>
  </si>
  <si>
    <t>Fedorowicz</t>
  </si>
  <si>
    <t>Czechowice</t>
  </si>
  <si>
    <t>Filipczyk</t>
  </si>
  <si>
    <t>Czesław</t>
  </si>
  <si>
    <t>Chociwel</t>
  </si>
  <si>
    <t>Filipek</t>
  </si>
  <si>
    <t>Teresa</t>
  </si>
  <si>
    <t>Pabianice</t>
  </si>
  <si>
    <t>Fudaj</t>
  </si>
  <si>
    <t>Paulina</t>
  </si>
  <si>
    <t>Świdnica</t>
  </si>
  <si>
    <t>Futerska</t>
  </si>
  <si>
    <t>Żywiec</t>
  </si>
  <si>
    <t>Gad</t>
  </si>
  <si>
    <t>Justyna</t>
  </si>
  <si>
    <t>Stalowa Wola</t>
  </si>
  <si>
    <t xml:space="preserve">Gajewska </t>
  </si>
  <si>
    <t>Grażyna</t>
  </si>
  <si>
    <t>Brodnica</t>
  </si>
  <si>
    <t>Ginalski</t>
  </si>
  <si>
    <t>dyrektor</t>
  </si>
  <si>
    <t>Góralczyk</t>
  </si>
  <si>
    <t>Wojciech</t>
  </si>
  <si>
    <t>niemiecki, hiszpański</t>
  </si>
  <si>
    <t>Grabowski</t>
  </si>
  <si>
    <t>Jacek</t>
  </si>
  <si>
    <t>Bogdaniec</t>
  </si>
  <si>
    <t>Nowa Sól</t>
  </si>
  <si>
    <t>Gruca</t>
  </si>
  <si>
    <t>Grzegorz</t>
  </si>
  <si>
    <t>Kleszczele</t>
  </si>
  <si>
    <t>Cezary</t>
  </si>
  <si>
    <t>Chełmno</t>
  </si>
  <si>
    <t>Henkelman</t>
  </si>
  <si>
    <t>Świnoujście</t>
  </si>
  <si>
    <t>Piotrowice</t>
  </si>
  <si>
    <t>Jagielska</t>
  </si>
  <si>
    <t>Frombork</t>
  </si>
  <si>
    <t>niemiecki, rosyjski</t>
  </si>
  <si>
    <t>Janowska</t>
  </si>
  <si>
    <t>Maria</t>
  </si>
  <si>
    <t>Abramów</t>
  </si>
  <si>
    <t>Białystok</t>
  </si>
  <si>
    <t>Kacprzyk</t>
  </si>
  <si>
    <t>Dominika</t>
  </si>
  <si>
    <t xml:space="preserve">kadry </t>
  </si>
  <si>
    <t>Warszawa</t>
  </si>
  <si>
    <t>Karczewska</t>
  </si>
  <si>
    <t>Kamila</t>
  </si>
  <si>
    <t>Koszel</t>
  </si>
  <si>
    <t>Anna</t>
  </si>
  <si>
    <t>Stargard</t>
  </si>
  <si>
    <t>Kowalska</t>
  </si>
  <si>
    <t>Bytom</t>
  </si>
  <si>
    <t>Chojnice</t>
  </si>
  <si>
    <t>Kowalski</t>
  </si>
  <si>
    <t>Jan</t>
  </si>
  <si>
    <t>Gryfino</t>
  </si>
  <si>
    <t>Kozłowska</t>
  </si>
  <si>
    <t>Olsztyn</t>
  </si>
  <si>
    <t>Krajewska</t>
  </si>
  <si>
    <t>Lucyna</t>
  </si>
  <si>
    <t>Bylew</t>
  </si>
  <si>
    <t>Kremicz</t>
  </si>
  <si>
    <t>Dobrzany</t>
  </si>
  <si>
    <t>Kresa</t>
  </si>
  <si>
    <t>Krystyna</t>
  </si>
  <si>
    <t>Kazimierz</t>
  </si>
  <si>
    <t>Bratomierz</t>
  </si>
  <si>
    <t>Kruszewski</t>
  </si>
  <si>
    <t>dyspozytor</t>
  </si>
  <si>
    <t>Kuc</t>
  </si>
  <si>
    <t>Toruń</t>
  </si>
  <si>
    <t>Kupś</t>
  </si>
  <si>
    <t>Kielce</t>
  </si>
  <si>
    <t>Kustroń</t>
  </si>
  <si>
    <t>Hanna</t>
  </si>
  <si>
    <t>Rzeszów</t>
  </si>
  <si>
    <t>Leszczyk</t>
  </si>
  <si>
    <t>Mikołaj</t>
  </si>
  <si>
    <t>Lewandowicz</t>
  </si>
  <si>
    <t>Zamość</t>
  </si>
  <si>
    <t>Ligocki</t>
  </si>
  <si>
    <t>Ryszard</t>
  </si>
  <si>
    <t xml:space="preserve">Lipiński </t>
  </si>
  <si>
    <t>Lipka</t>
  </si>
  <si>
    <t>Łopata</t>
  </si>
  <si>
    <t>Henryk</t>
  </si>
  <si>
    <t>Braniewo</t>
  </si>
  <si>
    <t>Maciejewski</t>
  </si>
  <si>
    <t>Zygmunt</t>
  </si>
  <si>
    <t>Czaplice</t>
  </si>
  <si>
    <t>Maliniak</t>
  </si>
  <si>
    <t>Niechcic</t>
  </si>
  <si>
    <t>Tomasz</t>
  </si>
  <si>
    <t>Przemyśl</t>
  </si>
  <si>
    <t>Nitecka</t>
  </si>
  <si>
    <t>Jolanta</t>
  </si>
  <si>
    <t>Nowak</t>
  </si>
  <si>
    <t>Sopot</t>
  </si>
  <si>
    <t>Przemysław</t>
  </si>
  <si>
    <t>Police</t>
  </si>
  <si>
    <t>Nowakowski</t>
  </si>
  <si>
    <t>Marek</t>
  </si>
  <si>
    <t>Bierutów</t>
  </si>
  <si>
    <t>Ołdakowska</t>
  </si>
  <si>
    <t>Ołldakowska</t>
  </si>
  <si>
    <t>Osowska</t>
  </si>
  <si>
    <t>Ostrowska</t>
  </si>
  <si>
    <t>Gorzów</t>
  </si>
  <si>
    <t>Owczarek</t>
  </si>
  <si>
    <t>Owczarz</t>
  </si>
  <si>
    <t>Paluch</t>
  </si>
  <si>
    <t>Edward</t>
  </si>
  <si>
    <t>Człuchów</t>
  </si>
  <si>
    <t>angielski, niemiecki</t>
  </si>
  <si>
    <t>Pogorzelski</t>
  </si>
  <si>
    <t>Jerzy</t>
  </si>
  <si>
    <t>Puchalski</t>
  </si>
  <si>
    <t>Charków</t>
  </si>
  <si>
    <t>Radoszewska</t>
  </si>
  <si>
    <t>Joanna</t>
  </si>
  <si>
    <t>Rogalska</t>
  </si>
  <si>
    <t>Lublin</t>
  </si>
  <si>
    <t>Rokita</t>
  </si>
  <si>
    <t>Marta</t>
  </si>
  <si>
    <t>Opole</t>
  </si>
  <si>
    <t>Brzezin</t>
  </si>
  <si>
    <t>Czarnkow</t>
  </si>
  <si>
    <t>Rondzisty</t>
  </si>
  <si>
    <t>Marcin</t>
  </si>
  <si>
    <t>Mińsk</t>
  </si>
  <si>
    <t>rosyjski, francuski</t>
  </si>
  <si>
    <t xml:space="preserve">Rudnicka </t>
  </si>
  <si>
    <t>Lubanowo</t>
  </si>
  <si>
    <t>Iława</t>
  </si>
  <si>
    <t>Rudnicki</t>
  </si>
  <si>
    <t>Świecie</t>
  </si>
  <si>
    <t>francuski, niemiecki</t>
  </si>
  <si>
    <t>Runowicz</t>
  </si>
  <si>
    <t>Rybak</t>
  </si>
  <si>
    <t>Gdańsk</t>
  </si>
  <si>
    <t>Sadowski</t>
  </si>
  <si>
    <t>Samborska</t>
  </si>
  <si>
    <t>Skrzypczak</t>
  </si>
  <si>
    <t>Jadwiga</t>
  </si>
  <si>
    <t>Sroka</t>
  </si>
  <si>
    <t>Wanda</t>
  </si>
  <si>
    <t>Bielsko Biała</t>
  </si>
  <si>
    <t>Srokowska</t>
  </si>
  <si>
    <t>Izabella</t>
  </si>
  <si>
    <t>Poznań</t>
  </si>
  <si>
    <t>Szablewska</t>
  </si>
  <si>
    <t>Monika</t>
  </si>
  <si>
    <t>Szafko</t>
  </si>
  <si>
    <t>Radosław</t>
  </si>
  <si>
    <t>Wrocław</t>
  </si>
  <si>
    <t>Szkudlarek</t>
  </si>
  <si>
    <t>Brześć</t>
  </si>
  <si>
    <t>Szymański</t>
  </si>
  <si>
    <t>Czerniakrobek</t>
  </si>
  <si>
    <t>rosyjski</t>
  </si>
  <si>
    <t>Szymczak</t>
  </si>
  <si>
    <t>Janusz</t>
  </si>
  <si>
    <t>Śliwińska</t>
  </si>
  <si>
    <t>Taukin</t>
  </si>
  <si>
    <t>Karina</t>
  </si>
  <si>
    <t>Katarzyna</t>
  </si>
  <si>
    <t>Tokarczuk</t>
  </si>
  <si>
    <t>Agata</t>
  </si>
  <si>
    <t>Brzeg Dolny</t>
  </si>
  <si>
    <t>Trela</t>
  </si>
  <si>
    <t>Turski</t>
  </si>
  <si>
    <t>Twardowski</t>
  </si>
  <si>
    <t>Tymicz</t>
  </si>
  <si>
    <t>Zenon</t>
  </si>
  <si>
    <t>Wierzbicki</t>
  </si>
  <si>
    <t>Wiśniewska</t>
  </si>
  <si>
    <t>Chełmża</t>
  </si>
  <si>
    <t>hiszpański, angielski</t>
  </si>
  <si>
    <t>Wojciechowska</t>
  </si>
  <si>
    <t>Wojciechowski</t>
  </si>
  <si>
    <t>Wojtas</t>
  </si>
  <si>
    <t>Ewelina</t>
  </si>
  <si>
    <t>Resko</t>
  </si>
  <si>
    <t>Wojtyła</t>
  </si>
  <si>
    <t>Piaski</t>
  </si>
  <si>
    <t>Wójcicki</t>
  </si>
  <si>
    <t>Kamil</t>
  </si>
  <si>
    <t>Wysocki</t>
  </si>
  <si>
    <t>Rafał</t>
  </si>
  <si>
    <t>Burzenin</t>
  </si>
  <si>
    <t>krojniczy</t>
  </si>
  <si>
    <t>Zabawa</t>
  </si>
  <si>
    <t>Krzysztof</t>
  </si>
  <si>
    <t>hiszpański, francuski</t>
  </si>
  <si>
    <t>specjalista</t>
  </si>
  <si>
    <t>Zalewski</t>
  </si>
  <si>
    <t>Robert</t>
  </si>
  <si>
    <t>Cieplice Śląskie-Zdrój</t>
  </si>
  <si>
    <t>Żakowski</t>
  </si>
  <si>
    <t>KADRY ŚREDNIA</t>
  </si>
  <si>
    <t>MAGAZYN ŚREDNIA</t>
  </si>
  <si>
    <t>PRODUKCJA ŚREDNIA</t>
  </si>
  <si>
    <t>TRANSPORT ŚREDNIA</t>
  </si>
  <si>
    <t>ŚREDNIA</t>
  </si>
  <si>
    <t>Suma z Rocznie</t>
  </si>
  <si>
    <t>Suma końcowa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</si>
</sst>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3">
    <font>
      <sz val="11"/>
      <color theme="1"/>
      <name val="Calibri"/>
      <family val="2"/>
      <scheme val="minor"/>
    </font>
    <font>
      <b/>
      <sz val="11"/>
      <name val="Aptos Narrow"/>
      <family val="2"/>
      <charset val="238"/>
    </font>
    <font>
      <sz val="11"/>
      <color rgb="FF000000"/>
      <name val="Aptos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rgb="FF44B3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B3E1"/>
      </left>
      <right/>
      <top style="thin">
        <color rgb="FF44B3E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theme="4" tint="0.3999755851924192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Fill="1" applyBorder="1" applyAlignment="1"/>
    <xf numFmtId="14" fontId="2" fillId="0" borderId="1" xfId="0" applyNumberFormat="1" applyFont="1" applyFill="1" applyBorder="1" applyAlignment="1"/>
    <xf numFmtId="3" fontId="2" fillId="0" borderId="1" xfId="0" applyNumberFormat="1" applyFont="1" applyFill="1" applyBorder="1" applyAlignment="1"/>
    <xf numFmtId="0" fontId="1" fillId="0" borderId="0" xfId="0" applyFont="1" applyFill="1" applyBorder="1" applyAlignment="1"/>
    <xf numFmtId="0" fontId="0" fillId="0" borderId="0" xfId="0" pivotButton="1"/>
    <xf numFmtId="3" fontId="0" fillId="0" borderId="0" xfId="0" applyNumberFormat="1"/>
    <xf numFmtId="0" fontId="0" fillId="0" borderId="2" xfId="0" applyBorder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14" fontId="2" fillId="3" borderId="4" xfId="0" applyNumberFormat="1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14" fontId="2" fillId="0" borderId="4" xfId="0" applyNumberFormat="1" applyFont="1" applyBorder="1" applyAlignment="1"/>
    <xf numFmtId="0" fontId="2" fillId="0" borderId="0" xfId="0" applyFont="1" applyFill="1" applyBorder="1" applyAlignment="1"/>
    <xf numFmtId="0" fontId="1" fillId="0" borderId="0" xfId="0" applyFont="1" applyFill="1" applyAlignment="1"/>
    <xf numFmtId="3" fontId="2" fillId="3" borderId="4" xfId="0" applyNumberFormat="1" applyFont="1" applyFill="1" applyBorder="1" applyAlignment="1"/>
    <xf numFmtId="3" fontId="2" fillId="0" borderId="4" xfId="0" applyNumberFormat="1" applyFont="1" applyBorder="1" applyAlignment="1"/>
    <xf numFmtId="164" fontId="2" fillId="3" borderId="4" xfId="0" applyNumberFormat="1" applyFont="1" applyFill="1" applyBorder="1" applyAlignment="1"/>
    <xf numFmtId="164" fontId="2" fillId="0" borderId="4" xfId="0" applyNumberFormat="1" applyFont="1" applyBorder="1" applyAlignment="1"/>
    <xf numFmtId="0" fontId="2" fillId="0" borderId="0" xfId="0" applyFont="1" applyFill="1" applyAlignment="1"/>
    <xf numFmtId="164" fontId="2" fillId="0" borderId="0" xfId="0" applyNumberFormat="1" applyFont="1" applyFill="1" applyBorder="1" applyAlignment="1"/>
    <xf numFmtId="3" fontId="0" fillId="0" borderId="2" xfId="0" applyNumberFormat="1" applyBorder="1"/>
    <xf numFmtId="3" fontId="0" fillId="0" borderId="5" xfId="0" applyNumberFormat="1" applyBorder="1"/>
    <xf numFmtId="0" fontId="0" fillId="0" borderId="6" xfId="0" applyBorder="1"/>
  </cellXfs>
  <cellStyles count="1">
    <cellStyle name="Normalny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średnie płace w poszczególnych działach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'wykres + średnie '!$R$3:$U$3</c:f>
              <c:strCache>
                <c:ptCount val="4"/>
                <c:pt idx="0">
                  <c:v>KADRY ŚREDNIA</c:v>
                </c:pt>
                <c:pt idx="1">
                  <c:v>MAGAZYN ŚREDNIA</c:v>
                </c:pt>
                <c:pt idx="2">
                  <c:v>PRODUKCJA ŚREDNIA</c:v>
                </c:pt>
                <c:pt idx="3">
                  <c:v>TRANSPORT ŚREDNIA</c:v>
                </c:pt>
              </c:strCache>
            </c:strRef>
          </c:cat>
          <c:val>
            <c:numRef>
              <c:f>'wykres + średnie '!$R$4:$U$4</c:f>
              <c:numCache>
                <c:formatCode>#,##0</c:formatCode>
                <c:ptCount val="4"/>
                <c:pt idx="0">
                  <c:v>87209</c:v>
                </c:pt>
                <c:pt idx="1">
                  <c:v>93300</c:v>
                </c:pt>
                <c:pt idx="2" formatCode="General">
                  <c:v>99174</c:v>
                </c:pt>
                <c:pt idx="3" formatCode="General">
                  <c:v>89825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7-4D18-A606-13E14B7B1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617992"/>
        <c:axId val="1512633864"/>
      </c:barChart>
      <c:catAx>
        <c:axId val="151261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33864"/>
        <c:crosses val="autoZero"/>
        <c:auto val="1"/>
        <c:lblAlgn val="ctr"/>
        <c:lblOffset val="100"/>
        <c:noMultiLvlLbl val="0"/>
      </c:catAx>
      <c:valAx>
        <c:axId val="151263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1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6</xdr:row>
      <xdr:rowOff>19050</xdr:rowOff>
    </xdr:from>
    <xdr:to>
      <xdr:col>20</xdr:col>
      <xdr:colOff>1152525</xdr:colOff>
      <xdr:row>20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332309C-112F-6C01-B25E-EE4686C2CC1D}"/>
            </a:ext>
            <a:ext uri="{147F2762-F138-4A5C-976F-8EAC2B608ADB}">
              <a16:predDERef xmlns:a16="http://schemas.microsoft.com/office/drawing/2014/main" pred="{8AF4324C-D7D8-C412-B974-B35F69373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6.444462847219" createdVersion="8" refreshedVersion="8" minRefreshableVersion="3" recordCount="120" xr:uid="{AA28EAB9-8591-4FDF-97CB-88F4188DCE80}">
  <cacheSource type="worksheet">
    <worksheetSource name="Tabela1"/>
  </cacheSource>
  <cacheFields count="13">
    <cacheField name="Lp" numFmtId="0">
      <sharedItems containsSemiMixedTypes="0" containsString="0" containsNumber="1" containsInteger="1" minValue="1" maxValue="120"/>
    </cacheField>
    <cacheField name="Nazwisko" numFmtId="0">
      <sharedItems/>
    </cacheField>
    <cacheField name="Imie" numFmtId="0">
      <sharedItems/>
    </cacheField>
    <cacheField name="data_ur" numFmtId="14">
      <sharedItems containsSemiMixedTypes="0" containsNonDate="0" containsDate="1" containsString="0" minDate="1957-10-11T00:00:00" maxDate="2005-02-24T00:00:00"/>
    </cacheField>
    <cacheField name="miejsce_ur" numFmtId="0">
      <sharedItems/>
    </cacheField>
    <cacheField name="miejscowosc" numFmtId="0">
      <sharedItems/>
    </cacheField>
    <cacheField name="żona/mąż" numFmtId="0">
      <sharedItems/>
    </cacheField>
    <cacheField name="dzieci" numFmtId="0">
      <sharedItems containsSemiMixedTypes="0" containsString="0" containsNumber="1" containsInteger="1" minValue="0" maxValue="6"/>
    </cacheField>
    <cacheField name="jezyk" numFmtId="0">
      <sharedItems/>
    </cacheField>
    <cacheField name="zatrudniony" numFmtId="14">
      <sharedItems containsSemiMixedTypes="0" containsNonDate="0" containsDate="1" containsString="0" minDate="2006-03-19T00:00:00" maxDate="2014-08-23T00:00:00"/>
    </cacheField>
    <cacheField name="dzial" numFmtId="0">
      <sharedItems count="6">
        <s v="kadry"/>
        <s v="produkcja"/>
        <s v="transport"/>
        <s v="zaopatrzenie"/>
        <s v="magazyn"/>
        <s v="kadry "/>
      </sharedItems>
    </cacheField>
    <cacheField name="stanowisko" numFmtId="0">
      <sharedItems count="13">
        <s v="referent"/>
        <s v="krawcowa"/>
        <s v="z-ca dyrektora"/>
        <s v="kierowca"/>
        <s v="wykrawacz"/>
        <s v="zaopatrzeniowiec"/>
        <s v="prasowacz"/>
        <s v="magazynier"/>
        <s v="księgowa"/>
        <s v="dyrektor"/>
        <s v="dyspozytor"/>
        <s v="krojniczy"/>
        <s v="specjalista"/>
      </sharedItems>
    </cacheField>
    <cacheField name="Rocznie" numFmtId="3">
      <sharedItems containsSemiMixedTypes="0" containsString="0" containsNumber="1" containsInteger="1" minValue="51940" maxValue="1865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s v="Adranowicz"/>
    <s v="Halina"/>
    <d v="1995-07-22T00:00:00"/>
    <s v="Skierniewice"/>
    <s v="Chełm"/>
    <s v="tak"/>
    <n v="3"/>
    <s v="angielski"/>
    <d v="2009-07-27T00:00:00"/>
    <x v="0"/>
    <x v="0"/>
    <n v="83269"/>
  </r>
  <r>
    <n v="2"/>
    <s v="Andrzejczak"/>
    <s v="Agnieszka"/>
    <d v="1996-09-10T00:00:00"/>
    <s v="Szczecin"/>
    <s v="Chojna"/>
    <s v="nie"/>
    <n v="0"/>
    <s v="niemiecki, angielski"/>
    <d v="2007-09-15T00:00:00"/>
    <x v="0"/>
    <x v="0"/>
    <n v="98185"/>
  </r>
  <r>
    <n v="3"/>
    <s v="Andrzejczak"/>
    <s v="Helena"/>
    <d v="1979-04-13T00:00:00"/>
    <s v="Pyrzyce"/>
    <s v="Świdnik"/>
    <s v="tak"/>
    <n v="4"/>
    <s v="angielski"/>
    <d v="2012-11-27T00:00:00"/>
    <x v="1"/>
    <x v="1"/>
    <n v="63283"/>
  </r>
  <r>
    <n v="4"/>
    <s v="Banasiak"/>
    <s v="Agnieszka"/>
    <d v="1991-02-24T00:00:00"/>
    <s v="Choszczno"/>
    <s v="Biała Podlaska"/>
    <s v="tak"/>
    <n v="5"/>
    <s v=" "/>
    <d v="2006-03-30T00:00:00"/>
    <x v="1"/>
    <x v="2"/>
    <n v="186556"/>
  </r>
  <r>
    <n v="5"/>
    <s v="Banasiak"/>
    <s v="Feliks"/>
    <d v="1987-04-29T00:00:00"/>
    <s v="Choszczno"/>
    <s v="Banie"/>
    <s v="tak"/>
    <n v="2"/>
    <s v="niemiecki "/>
    <d v="2009-03-03T00:00:00"/>
    <x v="1"/>
    <x v="1"/>
    <n v="125380"/>
  </r>
  <r>
    <n v="6"/>
    <s v="Banaszak"/>
    <s v="Aleksander"/>
    <d v="1979-01-19T00:00:00"/>
    <s v="Wałcz"/>
    <s v="Świdnik"/>
    <s v="tak"/>
    <n v="2"/>
    <s v="niemiecki"/>
    <d v="2011-06-09T00:00:00"/>
    <x v="2"/>
    <x v="3"/>
    <n v="92650"/>
  </r>
  <r>
    <n v="7"/>
    <s v="Biedrzycki"/>
    <s v="Zbigniew"/>
    <d v="1976-05-15T00:00:00"/>
    <s v="Boguszów"/>
    <s v="Biała Podlaska"/>
    <s v="tak"/>
    <n v="2"/>
    <s v="francuski, angielski"/>
    <d v="2013-01-26T00:00:00"/>
    <x v="0"/>
    <x v="0"/>
    <n v="70726"/>
  </r>
  <r>
    <n v="8"/>
    <s v="Bogucewicz"/>
    <s v="Cecylia"/>
    <d v="1973-09-06T00:00:00"/>
    <s v="Bydgoszcz"/>
    <s v="Bydgoszcz"/>
    <s v="tak"/>
    <n v="0"/>
    <s v="niemiecki"/>
    <d v="2011-05-21T00:00:00"/>
    <x v="1"/>
    <x v="4"/>
    <n v="74200"/>
  </r>
  <r>
    <n v="9"/>
    <s v="Bogusławski"/>
    <s v="Karol"/>
    <d v="1978-10-22T00:00:00"/>
    <s v="Łódź"/>
    <s v="Bydgoszcz"/>
    <s v="tak"/>
    <n v="2"/>
    <s v="hiszpański"/>
    <d v="2008-09-16T00:00:00"/>
    <x v="1"/>
    <x v="1"/>
    <n v="92290"/>
  </r>
  <r>
    <n v="10"/>
    <s v="Borkowski "/>
    <s v="Stanisław"/>
    <d v="1977-04-25T00:00:00"/>
    <s v="Szczecin"/>
    <s v="Bydgoszcz"/>
    <s v="tak"/>
    <n v="4"/>
    <s v="angielski"/>
    <d v="2006-05-07T00:00:00"/>
    <x v="1"/>
    <x v="1"/>
    <n v="63283"/>
  </r>
  <r>
    <n v="11"/>
    <s v="Bugalska"/>
    <s v="Ewa"/>
    <d v="1972-07-21T00:00:00"/>
    <s v="Bydgoszcz"/>
    <s v="Banie"/>
    <s v="nie"/>
    <n v="3"/>
    <s v="angielski, rosyjski"/>
    <d v="2013-04-28T00:00:00"/>
    <x v="2"/>
    <x v="3"/>
    <n v="97690"/>
  </r>
  <r>
    <n v="12"/>
    <s v="Bugalski"/>
    <s v="Leszek"/>
    <d v="1983-03-24T00:00:00"/>
    <s v="Barlinek"/>
    <s v="Bydgoszcz"/>
    <s v="tak"/>
    <n v="1"/>
    <s v="angielski"/>
    <d v="2008-09-18T00:00:00"/>
    <x v="3"/>
    <x v="5"/>
    <n v="79600"/>
  </r>
  <r>
    <n v="13"/>
    <s v="Chojnacka"/>
    <s v="Edyta"/>
    <d v="1980-09-01T00:00:00"/>
    <s v="Chełm"/>
    <s v="Biała Podlaska"/>
    <s v="tak"/>
    <n v="2"/>
    <s v="angielski"/>
    <d v="2013-05-02T00:00:00"/>
    <x v="0"/>
    <x v="0"/>
    <n v="83269"/>
  </r>
  <r>
    <n v="14"/>
    <s v="Cichocki"/>
    <s v="Marian"/>
    <d v="1983-11-06T00:00:00"/>
    <s v="Czarnków"/>
    <s v="Biała Podlaska"/>
    <s v="tak"/>
    <n v="0"/>
    <s v="angielski"/>
    <d v="2008-12-20T00:00:00"/>
    <x v="0"/>
    <x v="0"/>
    <n v="100420"/>
  </r>
  <r>
    <n v="15"/>
    <s v="Cieślak"/>
    <s v="Małgorzata"/>
    <d v="1977-04-19T00:00:00"/>
    <s v="Chorzów"/>
    <s v="Chełm"/>
    <s v="tak"/>
    <n v="1"/>
    <s v="angielski"/>
    <d v="2009-02-26T00:00:00"/>
    <x v="1"/>
    <x v="6"/>
    <n v="79600"/>
  </r>
  <r>
    <n v="16"/>
    <s v="Cieślewicz"/>
    <s v="Magdalena"/>
    <d v="1977-03-03T00:00:00"/>
    <s v="Szczecin"/>
    <s v="Chojna"/>
    <s v="tak"/>
    <n v="1"/>
    <s v="francuski"/>
    <d v="2007-08-23T00:00:00"/>
    <x v="0"/>
    <x v="0"/>
    <n v="79600"/>
  </r>
  <r>
    <n v="17"/>
    <s v="Dańczura"/>
    <s v="Paweł"/>
    <d v="1971-10-21T00:00:00"/>
    <s v="Szczecin"/>
    <s v="Chełm"/>
    <s v="tak"/>
    <n v="3"/>
    <s v="angielski"/>
    <d v="2008-04-27T00:00:00"/>
    <x v="1"/>
    <x v="6"/>
    <n v="56995"/>
  </r>
  <r>
    <n v="18"/>
    <s v="Długosz"/>
    <s v="Aneta"/>
    <d v="1984-02-06T00:00:00"/>
    <s v="Bydgoszcz"/>
    <s v="Radom"/>
    <s v="tak"/>
    <n v="3"/>
    <s v="niemiecki"/>
    <d v="2009-04-13T00:00:00"/>
    <x v="4"/>
    <x v="7"/>
    <n v="83200"/>
  </r>
  <r>
    <n v="19"/>
    <s v="Długosz"/>
    <s v="Ludwik"/>
    <d v="1980-11-12T00:00:00"/>
    <s v="Cedynia"/>
    <s v="Cedynia"/>
    <s v="tak"/>
    <n v="2"/>
    <s v=" "/>
    <d v="2011-04-27T00:00:00"/>
    <x v="1"/>
    <x v="6"/>
    <n v="127018"/>
  </r>
  <r>
    <n v="20"/>
    <s v="Dragon"/>
    <s v="Józef"/>
    <d v="1983-03-24T00:00:00"/>
    <s v="Białogard"/>
    <s v="Cedynia"/>
    <s v="tak"/>
    <n v="1"/>
    <s v=" "/>
    <d v="2009-03-08T00:00:00"/>
    <x v="0"/>
    <x v="8"/>
    <n v="73000"/>
  </r>
  <r>
    <n v="21"/>
    <s v="Dziuba"/>
    <s v="Bożena"/>
    <d v="1976-02-22T00:00:00"/>
    <s v="Bolesławiec"/>
    <s v="Biała Podlaska"/>
    <s v="tak"/>
    <n v="3"/>
    <s v="niemiecki"/>
    <d v="2012-05-20T00:00:00"/>
    <x v="0"/>
    <x v="0"/>
    <n v="114760"/>
  </r>
  <r>
    <n v="22"/>
    <s v="Ejsmont"/>
    <s v="Barbara"/>
    <d v="1965-11-19T00:00:00"/>
    <s v="Chojna"/>
    <s v="Biała Podlaska"/>
    <s v="tak"/>
    <n v="1"/>
    <s v="francuski"/>
    <d v="2011-08-26T00:00:00"/>
    <x v="0"/>
    <x v="0"/>
    <n v="79600"/>
  </r>
  <r>
    <n v="23"/>
    <s v="Engel"/>
    <s v="Piotr"/>
    <d v="1975-09-11T00:00:00"/>
    <s v="Szczecin"/>
    <s v="Chełm"/>
    <s v="tak"/>
    <n v="2"/>
    <s v="niemiecki"/>
    <d v="2008-01-23T00:00:00"/>
    <x v="1"/>
    <x v="6"/>
    <n v="125380"/>
  </r>
  <r>
    <n v="24"/>
    <s v="Falkiewicz"/>
    <s v="Stefan"/>
    <d v="1976-12-28T00:00:00"/>
    <s v="Szczecin"/>
    <s v="Chojna"/>
    <s v="tak"/>
    <n v="1"/>
    <s v="hiszpański"/>
    <d v="2007-10-15T00:00:00"/>
    <x v="0"/>
    <x v="0"/>
    <n v="91996"/>
  </r>
  <r>
    <n v="25"/>
    <s v="Fedorowicz"/>
    <s v="Ewa"/>
    <d v="1994-11-14T00:00:00"/>
    <s v="Czechowice"/>
    <s v="Chełm"/>
    <s v="tak"/>
    <n v="2"/>
    <s v=" "/>
    <d v="2008-02-19T00:00:00"/>
    <x v="1"/>
    <x v="6"/>
    <n v="127018"/>
  </r>
  <r>
    <n v="26"/>
    <s v="Filipczyk"/>
    <s v="Czesław"/>
    <d v="1994-01-23T00:00:00"/>
    <s v="Chociwel"/>
    <s v="Biała Podlaska"/>
    <s v="tak"/>
    <n v="1"/>
    <s v="niemiecki"/>
    <d v="2008-08-29T00:00:00"/>
    <x v="1"/>
    <x v="6"/>
    <n v="118900"/>
  </r>
  <r>
    <n v="27"/>
    <s v="Filipek"/>
    <s v="Teresa"/>
    <d v="1972-09-11T00:00:00"/>
    <s v="Pabianice"/>
    <s v="Bydgoszcz"/>
    <s v="nie"/>
    <n v="0"/>
    <s v="angielski"/>
    <d v="2009-03-26T00:00:00"/>
    <x v="1"/>
    <x v="1"/>
    <n v="105044"/>
  </r>
  <r>
    <n v="28"/>
    <s v="Fudaj"/>
    <s v="Paulina"/>
    <d v="1979-12-18T00:00:00"/>
    <s v="Świdnica"/>
    <s v="Chełm"/>
    <s v="tak"/>
    <n v="1"/>
    <s v="angielski, rosyjski"/>
    <d v="2009-05-04T00:00:00"/>
    <x v="0"/>
    <x v="0"/>
    <n v="66760"/>
  </r>
  <r>
    <n v="29"/>
    <s v="Futerska"/>
    <s v="Paulina"/>
    <d v="1973-10-15T00:00:00"/>
    <s v="Żywiec"/>
    <s v="Chełm"/>
    <s v="tak"/>
    <n v="1"/>
    <s v="niemiecki"/>
    <d v="2008-04-26T00:00:00"/>
    <x v="1"/>
    <x v="6"/>
    <n v="118900"/>
  </r>
  <r>
    <n v="30"/>
    <s v="Gad"/>
    <s v="Justyna"/>
    <d v="1974-01-20T00:00:00"/>
    <s v="Stalowa Wola"/>
    <s v="Pabianice"/>
    <s v="tak"/>
    <n v="3"/>
    <s v="niemiecki"/>
    <d v="2009-05-05T00:00:00"/>
    <x v="0"/>
    <x v="0"/>
    <n v="114760"/>
  </r>
  <r>
    <n v="31"/>
    <s v="Gajewska "/>
    <s v="Grażyna"/>
    <d v="1977-03-02T00:00:00"/>
    <s v="Szczecin"/>
    <s v="Brodnica"/>
    <s v="tak"/>
    <n v="5"/>
    <s v="niemiecki"/>
    <d v="2008-03-07T00:00:00"/>
    <x v="4"/>
    <x v="7"/>
    <n v="83200"/>
  </r>
  <r>
    <n v="32"/>
    <s v="Ginalski"/>
    <s v="Józef"/>
    <d v="1987-04-02T00:00:00"/>
    <s v="Chełm"/>
    <s v="Banie"/>
    <s v="tak"/>
    <n v="0"/>
    <s v=" "/>
    <d v="2008-01-26T00:00:00"/>
    <x v="1"/>
    <x v="9"/>
    <n v="174340"/>
  </r>
  <r>
    <n v="33"/>
    <s v="Góralczyk"/>
    <s v="Wojciech"/>
    <d v="1985-04-13T00:00:00"/>
    <s v="Białogard"/>
    <s v="Cedynia"/>
    <s v="tak"/>
    <n v="1"/>
    <s v="niemiecki, hiszpański"/>
    <d v="2009-02-23T00:00:00"/>
    <x v="3"/>
    <x v="7"/>
    <n v="118330"/>
  </r>
  <r>
    <n v="34"/>
    <s v="Grabowski"/>
    <s v="Jacek"/>
    <d v="1998-11-28T00:00:00"/>
    <s v="Bogdaniec"/>
    <s v="Nowa Sól"/>
    <s v="tak"/>
    <n v="1"/>
    <s v="angielski"/>
    <d v="2009-04-25T00:00:00"/>
    <x v="1"/>
    <x v="1"/>
    <n v="108976"/>
  </r>
  <r>
    <n v="35"/>
    <s v="Gruca"/>
    <s v="Grzegorz"/>
    <d v="1965-04-17T00:00:00"/>
    <s v="Kleszczele"/>
    <s v="Świdnik"/>
    <s v="tak"/>
    <n v="0"/>
    <s v="niemiecki"/>
    <d v="2011-08-25T00:00:00"/>
    <x v="0"/>
    <x v="0"/>
    <n v="80185"/>
  </r>
  <r>
    <n v="36"/>
    <s v="Gruca"/>
    <s v="Cezary"/>
    <d v="1971-10-08T00:00:00"/>
    <s v="Chojna"/>
    <s v="Banie"/>
    <s v="tak"/>
    <n v="5"/>
    <s v="niemiecki"/>
    <d v="2013-01-26T00:00:00"/>
    <x v="2"/>
    <x v="3"/>
    <n v="73750"/>
  </r>
  <r>
    <n v="37"/>
    <s v="Gruca"/>
    <s v="Helena"/>
    <d v="1976-08-25T00:00:00"/>
    <s v="Chełmno"/>
    <s v="Biała Podlaska"/>
    <s v="nie"/>
    <n v="2"/>
    <s v="angielski"/>
    <d v="2014-05-23T00:00:00"/>
    <x v="0"/>
    <x v="0"/>
    <n v="113680"/>
  </r>
  <r>
    <n v="38"/>
    <s v="Henkelman"/>
    <s v="Agnieszka"/>
    <d v="1976-11-29T00:00:00"/>
    <s v="Świnoujście"/>
    <s v="Piotrowice"/>
    <s v="tak"/>
    <n v="2"/>
    <s v="angielski"/>
    <d v="2007-10-15T00:00:00"/>
    <x v="2"/>
    <x v="3"/>
    <n v="83500"/>
  </r>
  <r>
    <n v="39"/>
    <s v="Jagielska"/>
    <s v="Ewa"/>
    <d v="1974-07-09T00:00:00"/>
    <s v="Szczecin"/>
    <s v="Frombork"/>
    <s v="tak"/>
    <n v="2"/>
    <s v="niemiecki, rosyjski"/>
    <d v="2008-08-25T00:00:00"/>
    <x v="0"/>
    <x v="0"/>
    <n v="127900"/>
  </r>
  <r>
    <n v="40"/>
    <s v="Janowska"/>
    <s v="Maria"/>
    <d v="1973-09-01T00:00:00"/>
    <s v="Abramów"/>
    <s v="Białystok"/>
    <s v="tak"/>
    <n v="1"/>
    <s v="angielski"/>
    <d v="2007-08-19T00:00:00"/>
    <x v="0"/>
    <x v="0"/>
    <n v="100420"/>
  </r>
  <r>
    <n v="41"/>
    <s v="Kacprzyk"/>
    <s v="Dominika"/>
    <d v="1976-05-14T00:00:00"/>
    <s v="Brodnica"/>
    <s v="Biała Podlaska"/>
    <s v="tak"/>
    <n v="1"/>
    <s v="angielski"/>
    <d v="2012-12-28T00:00:00"/>
    <x v="5"/>
    <x v="0"/>
    <n v="58990"/>
  </r>
  <r>
    <n v="42"/>
    <s v="Kacprzyk"/>
    <s v="Cecylia"/>
    <d v="1958-08-06T00:00:00"/>
    <s v="Warszawa"/>
    <s v="Świdnik"/>
    <s v="tak"/>
    <n v="3"/>
    <s v="angielski"/>
    <d v="2013-03-23T00:00:00"/>
    <x v="1"/>
    <x v="6"/>
    <n v="73720"/>
  </r>
  <r>
    <n v="43"/>
    <s v="Karczewska"/>
    <s v="Kamila"/>
    <d v="1981-01-14T00:00:00"/>
    <s v="Szczecin"/>
    <s v="Bydgoszcz"/>
    <s v="tak"/>
    <n v="3"/>
    <s v="niemiecki"/>
    <d v="2006-04-27T00:00:00"/>
    <x v="1"/>
    <x v="1"/>
    <n v="63130"/>
  </r>
  <r>
    <n v="44"/>
    <s v="Koszel"/>
    <s v="Anna"/>
    <d v="1979-05-24T00:00:00"/>
    <s v="Stargard"/>
    <s v="Piotrowice"/>
    <s v="tak"/>
    <n v="3"/>
    <s v="angielski"/>
    <d v="2006-04-01T00:00:00"/>
    <x v="1"/>
    <x v="4"/>
    <n v="73720"/>
  </r>
  <r>
    <n v="45"/>
    <s v="Kowalska"/>
    <s v="Kamila"/>
    <d v="1974-02-14T00:00:00"/>
    <s v="Bytom"/>
    <s v="Chojnice"/>
    <s v="tak"/>
    <n v="1"/>
    <s v=" "/>
    <d v="2008-03-31T00:00:00"/>
    <x v="1"/>
    <x v="1"/>
    <n v="136000"/>
  </r>
  <r>
    <n v="46"/>
    <s v="Kowalski"/>
    <s v="Jan"/>
    <d v="1976-02-05T00:00:00"/>
    <s v="Szczecin"/>
    <s v="Bydgoszcz"/>
    <s v="tak"/>
    <n v="1"/>
    <s v="niemiecki"/>
    <d v="2006-08-26T00:00:00"/>
    <x v="1"/>
    <x v="1"/>
    <n v="103240"/>
  </r>
  <r>
    <n v="47"/>
    <s v="Kowalski"/>
    <s v="Jan"/>
    <d v="1983-07-30T00:00:00"/>
    <s v="Gryfino"/>
    <s v="Piotrowice"/>
    <s v="tak"/>
    <n v="4"/>
    <s v="niemiecki"/>
    <d v="2008-07-28T00:00:00"/>
    <x v="2"/>
    <x v="3"/>
    <n v="73750"/>
  </r>
  <r>
    <n v="48"/>
    <s v="Kozłowska"/>
    <s v="Anna"/>
    <d v="1979-12-30T00:00:00"/>
    <s v="Szczecin"/>
    <s v="Olsztyn"/>
    <s v="nie"/>
    <n v="2"/>
    <s v="angielski"/>
    <d v="2006-06-29T00:00:00"/>
    <x v="0"/>
    <x v="0"/>
    <n v="113680"/>
  </r>
  <r>
    <n v="49"/>
    <s v="Krajewska"/>
    <s v="Lucyna"/>
    <d v="1990-05-21T00:00:00"/>
    <s v="Bylew"/>
    <s v="Cedynia"/>
    <s v="tak"/>
    <n v="1"/>
    <s v="niemiecki"/>
    <d v="2008-06-03T00:00:00"/>
    <x v="1"/>
    <x v="1"/>
    <n v="103240"/>
  </r>
  <r>
    <n v="50"/>
    <s v="Kremicz"/>
    <s v="Anna"/>
    <d v="1958-12-05T00:00:00"/>
    <s v="Dobrzany"/>
    <s v="Świdnik"/>
    <s v="tak"/>
    <n v="3"/>
    <s v="angielski"/>
    <d v="2007-08-16T00:00:00"/>
    <x v="3"/>
    <x v="5"/>
    <n v="66700"/>
  </r>
  <r>
    <n v="51"/>
    <s v="Kresa"/>
    <s v="Krystyna"/>
    <d v="1980-09-04T00:00:00"/>
    <s v="Białystok"/>
    <s v="Cedynia"/>
    <s v="tak"/>
    <n v="0"/>
    <s v="angielski"/>
    <d v="2011-04-01T00:00:00"/>
    <x v="0"/>
    <x v="8"/>
    <n v="86500"/>
  </r>
  <r>
    <n v="52"/>
    <s v="Kresa"/>
    <s v="Kazimierz"/>
    <d v="1977-09-17T00:00:00"/>
    <s v="Bratomierz"/>
    <s v="Banie"/>
    <s v="nie"/>
    <n v="2"/>
    <s v="angielski"/>
    <d v="2011-05-20T00:00:00"/>
    <x v="2"/>
    <x v="3"/>
    <n v="83500"/>
  </r>
  <r>
    <n v="53"/>
    <s v="Kruszewski"/>
    <s v="Jan"/>
    <d v="1980-07-23T00:00:00"/>
    <s v="Warszawa"/>
    <s v="Piotrowice"/>
    <s v="tak"/>
    <n v="2"/>
    <s v="niemiecki"/>
    <d v="2009-10-19T00:00:00"/>
    <x v="2"/>
    <x v="10"/>
    <n v="92650"/>
  </r>
  <r>
    <n v="54"/>
    <s v="Kuc"/>
    <s v="Bożena"/>
    <d v="1998-10-17T00:00:00"/>
    <s v="Toruń"/>
    <s v="Brodnica"/>
    <s v="tak"/>
    <n v="1"/>
    <s v=" "/>
    <d v="2008-05-31T00:00:00"/>
    <x v="0"/>
    <x v="8"/>
    <n v="73000"/>
  </r>
  <r>
    <n v="55"/>
    <s v="Kupś"/>
    <s v="Piotr"/>
    <d v="1974-08-14T00:00:00"/>
    <s v="Kielce"/>
    <s v="Chełm"/>
    <s v="tak"/>
    <n v="2"/>
    <s v="hiszpański"/>
    <d v="2007-11-13T00:00:00"/>
    <x v="1"/>
    <x v="4"/>
    <n v="75400"/>
  </r>
  <r>
    <n v="56"/>
    <s v="Kupś"/>
    <s v="Piotr"/>
    <d v="1973-08-27T00:00:00"/>
    <s v="Toruń"/>
    <s v="Chełm"/>
    <s v="tak"/>
    <n v="3"/>
    <s v=" "/>
    <d v="2008-05-19T00:00:00"/>
    <x v="1"/>
    <x v="2"/>
    <n v="186556"/>
  </r>
  <r>
    <n v="57"/>
    <s v="Kustroń"/>
    <s v="Hanna"/>
    <d v="1972-11-20T00:00:00"/>
    <s v="Rzeszów"/>
    <s v="Bydgoszcz"/>
    <s v="tak"/>
    <n v="2"/>
    <s v="niemiecki"/>
    <d v="2009-08-25T00:00:00"/>
    <x v="1"/>
    <x v="1"/>
    <n v="94720"/>
  </r>
  <r>
    <n v="58"/>
    <s v="Leszczyk"/>
    <s v="Mikołaj"/>
    <d v="1995-06-07T00:00:00"/>
    <s v="Radom"/>
    <s v="Chełm"/>
    <s v="tak"/>
    <n v="1"/>
    <s v="niemiecki"/>
    <d v="2008-12-31T00:00:00"/>
    <x v="3"/>
    <x v="5"/>
    <n v="154780"/>
  </r>
  <r>
    <n v="59"/>
    <s v="Lewandowicz"/>
    <s v="Agnieszka"/>
    <d v="1978-08-11T00:00:00"/>
    <s v="Zamość"/>
    <s v="Bydgoszcz"/>
    <s v="tak"/>
    <n v="3"/>
    <s v=" "/>
    <d v="2009-03-18T00:00:00"/>
    <x v="1"/>
    <x v="1"/>
    <n v="83074"/>
  </r>
  <r>
    <n v="60"/>
    <s v="Ligocki"/>
    <s v="Ryszard"/>
    <d v="1998-10-17T00:00:00"/>
    <s v="Choszczno"/>
    <s v="Bydgoszcz"/>
    <s v="tak"/>
    <n v="3"/>
    <s v="niemiecki"/>
    <d v="2008-05-07T00:00:00"/>
    <x v="1"/>
    <x v="4"/>
    <n v="63130"/>
  </r>
  <r>
    <n v="61"/>
    <s v="Lipiński "/>
    <s v="Leszek"/>
    <d v="1976-03-22T00:00:00"/>
    <s v="Szczecin"/>
    <s v="Bydgoszcz"/>
    <s v="tak"/>
    <n v="3"/>
    <s v="hiszpański"/>
    <d v="2007-08-27T00:00:00"/>
    <x v="1"/>
    <x v="1"/>
    <n v="94729"/>
  </r>
  <r>
    <n v="62"/>
    <s v="Lipka"/>
    <s v="Magdalena"/>
    <d v="1957-10-11T00:00:00"/>
    <s v="Pyrzyce"/>
    <s v="Piotrowice"/>
    <s v="tak"/>
    <n v="3"/>
    <s v="angielski"/>
    <d v="2008-09-10T00:00:00"/>
    <x v="2"/>
    <x v="3"/>
    <n v="97690"/>
  </r>
  <r>
    <n v="63"/>
    <s v="Łopata"/>
    <s v="Henryk"/>
    <d v="1993-07-19T00:00:00"/>
    <s v="Braniewo"/>
    <s v="Bydgoszcz"/>
    <s v="nie"/>
    <n v="1"/>
    <s v=" "/>
    <d v="2008-08-25T00:00:00"/>
    <x v="0"/>
    <x v="0"/>
    <n v="51940"/>
  </r>
  <r>
    <n v="64"/>
    <s v="Maciejewski"/>
    <s v="Zygmunt"/>
    <d v="1998-05-18T00:00:00"/>
    <s v="Czaplice"/>
    <s v="Cedynia"/>
    <s v="tak"/>
    <n v="3"/>
    <s v="angielski"/>
    <d v="2007-06-14T00:00:00"/>
    <x v="1"/>
    <x v="1"/>
    <n v="56995"/>
  </r>
  <r>
    <n v="65"/>
    <s v="Maliniak"/>
    <s v="Piotr"/>
    <d v="1973-08-22T00:00:00"/>
    <s v="Szczecin"/>
    <s v="Chełm"/>
    <s v="tak"/>
    <n v="5"/>
    <s v="francuski"/>
    <d v="2006-03-19T00:00:00"/>
    <x v="1"/>
    <x v="4"/>
    <n v="62920"/>
  </r>
  <r>
    <n v="66"/>
    <s v="Niechcic"/>
    <s v="Tomasz"/>
    <d v="1979-01-29T00:00:00"/>
    <s v="Przemyśl"/>
    <s v="Chełm"/>
    <s v="tak"/>
    <n v="3"/>
    <s v="hiszpański"/>
    <d v="2008-03-25T00:00:00"/>
    <x v="0"/>
    <x v="0"/>
    <n v="124822"/>
  </r>
  <r>
    <n v="67"/>
    <s v="Nitecka"/>
    <s v="Jolanta"/>
    <d v="1975-08-20T00:00:00"/>
    <s v="Chojna"/>
    <s v="Banie"/>
    <s v="tak"/>
    <n v="3"/>
    <s v="francuski"/>
    <d v="2013-09-16T00:00:00"/>
    <x v="1"/>
    <x v="1"/>
    <n v="62920"/>
  </r>
  <r>
    <n v="68"/>
    <s v="Nowak"/>
    <s v="Jan"/>
    <d v="1977-06-13T00:00:00"/>
    <s v="Sopot"/>
    <s v="Chełm"/>
    <s v="tak"/>
    <n v="1"/>
    <s v="niemiecki"/>
    <d v="2008-03-03T00:00:00"/>
    <x v="5"/>
    <x v="0"/>
    <n v="148864"/>
  </r>
  <r>
    <n v="69"/>
    <s v="Nowak"/>
    <s v="Przemysław"/>
    <d v="1997-07-01T00:00:00"/>
    <s v="Police"/>
    <s v="Piotrowice"/>
    <s v="tak"/>
    <n v="3"/>
    <s v="angielski"/>
    <d v="2008-10-16T00:00:00"/>
    <x v="2"/>
    <x v="3"/>
    <n v="76018"/>
  </r>
  <r>
    <n v="70"/>
    <s v="Nowakowski"/>
    <s v="Marek"/>
    <d v="1981-02-22T00:00:00"/>
    <s v="Bierutów"/>
    <s v="Banie"/>
    <s v="tak"/>
    <n v="1"/>
    <s v="angielski"/>
    <d v="2013-10-30T00:00:00"/>
    <x v="1"/>
    <x v="1"/>
    <n v="120250"/>
  </r>
  <r>
    <n v="71"/>
    <s v="Ołdakowska"/>
    <s v="Agnieszka"/>
    <d v="1982-03-26T00:00:00"/>
    <s v="Olsztyn"/>
    <s v="Brodnica"/>
    <s v="tak"/>
    <n v="0"/>
    <s v="angielski"/>
    <d v="2008-01-05T00:00:00"/>
    <x v="0"/>
    <x v="8"/>
    <n v="86500"/>
  </r>
  <r>
    <n v="72"/>
    <s v="Ołldakowska"/>
    <s v="Agnieszka"/>
    <d v="1976-05-24T00:00:00"/>
    <s v="Szczecin"/>
    <s v="Bydgoszcz"/>
    <s v="tak"/>
    <n v="1"/>
    <s v="angielski"/>
    <d v="2009-01-13T00:00:00"/>
    <x v="1"/>
    <x v="1"/>
    <n v="108976"/>
  </r>
  <r>
    <n v="73"/>
    <s v="Osowska"/>
    <s v="Maria"/>
    <d v="1974-02-08T00:00:00"/>
    <s v="Banie"/>
    <s v="Banie"/>
    <s v="tak"/>
    <n v="0"/>
    <s v="angielski"/>
    <d v="2012-11-25T00:00:00"/>
    <x v="2"/>
    <x v="10"/>
    <n v="88726"/>
  </r>
  <r>
    <n v="74"/>
    <s v="Ostrowska"/>
    <s v="Ewa"/>
    <d v="1974-04-18T00:00:00"/>
    <s v="Gorzów"/>
    <s v="Brodnica"/>
    <s v="tak"/>
    <n v="1"/>
    <s v=" "/>
    <d v="2007-12-16T00:00:00"/>
    <x v="4"/>
    <x v="7"/>
    <n v="120100"/>
  </r>
  <r>
    <n v="75"/>
    <s v="Owczarek"/>
    <s v="Tomasz"/>
    <d v="1973-06-07T00:00:00"/>
    <s v="Łódź"/>
    <s v="Piotrowice"/>
    <s v="tak"/>
    <n v="1"/>
    <s v="angielski"/>
    <d v="2008-10-15T00:00:00"/>
    <x v="2"/>
    <x v="3"/>
    <n v="116440"/>
  </r>
  <r>
    <n v="76"/>
    <s v="Owczarz"/>
    <s v="Teresa"/>
    <d v="1978-04-10T00:00:00"/>
    <s v="Szczecin"/>
    <s v="Chojna"/>
    <s v="nie"/>
    <n v="2"/>
    <s v="francuski"/>
    <d v="2008-01-17T00:00:00"/>
    <x v="0"/>
    <x v="0"/>
    <n v="70726"/>
  </r>
  <r>
    <n v="77"/>
    <s v="Paluch"/>
    <s v="Edward"/>
    <d v="1978-07-27T00:00:00"/>
    <s v="Człuchów"/>
    <s v="Banie"/>
    <s v="tak"/>
    <n v="3"/>
    <s v="angielski"/>
    <d v="2014-06-13T00:00:00"/>
    <x v="2"/>
    <x v="3"/>
    <n v="76018"/>
  </r>
  <r>
    <n v="78"/>
    <s v="Paluch"/>
    <s v="Krystyna"/>
    <d v="1979-07-06T00:00:00"/>
    <s v="Choszczno"/>
    <s v="Biała Podlaska"/>
    <s v="tak"/>
    <n v="1"/>
    <s v="angielski, niemiecki"/>
    <d v="2014-08-22T00:00:00"/>
    <x v="0"/>
    <x v="0"/>
    <n v="66760"/>
  </r>
  <r>
    <n v="79"/>
    <s v="Pogorzelski"/>
    <s v="Jerzy"/>
    <d v="1998-09-20T00:00:00"/>
    <s v="Chojna"/>
    <s v="Banie"/>
    <s v="tak"/>
    <n v="1"/>
    <s v="angielski"/>
    <d v="2008-11-17T00:00:00"/>
    <x v="2"/>
    <x v="3"/>
    <n v="116440"/>
  </r>
  <r>
    <n v="80"/>
    <s v="Puchalski"/>
    <s v="Marian"/>
    <d v="1971-12-22T00:00:00"/>
    <s v="Charków"/>
    <s v="Biała Podlaska"/>
    <s v="tak"/>
    <n v="1"/>
    <s v=" "/>
    <d v="2013-06-02T00:00:00"/>
    <x v="0"/>
    <x v="0"/>
    <n v="53254"/>
  </r>
  <r>
    <n v="81"/>
    <s v="Radoszewska"/>
    <s v="Joanna"/>
    <d v="1988-01-15T00:00:00"/>
    <s v="Warszawa"/>
    <s v="Chełm"/>
    <s v="tak"/>
    <n v="1"/>
    <s v="niemiecki"/>
    <d v="2006-04-07T00:00:00"/>
    <x v="1"/>
    <x v="6"/>
    <n v="154780"/>
  </r>
  <r>
    <n v="82"/>
    <s v="Rogalska"/>
    <s v="Maria"/>
    <d v="1980-03-05T00:00:00"/>
    <s v="Lublin"/>
    <s v="Bydgoszcz"/>
    <s v="tak"/>
    <n v="1"/>
    <s v="francuski"/>
    <d v="2008-12-06T00:00:00"/>
    <x v="1"/>
    <x v="1"/>
    <n v="73900"/>
  </r>
  <r>
    <n v="83"/>
    <s v="Rokita"/>
    <s v="Marta"/>
    <d v="2005-02-23T00:00:00"/>
    <s v="Opole"/>
    <s v="Brodnica"/>
    <s v="tak"/>
    <n v="1"/>
    <s v=" "/>
    <d v="2008-07-28T00:00:00"/>
    <x v="4"/>
    <x v="7"/>
    <n v="120100"/>
  </r>
  <r>
    <n v="84"/>
    <s v="Rokita"/>
    <s v="Maria"/>
    <d v="1984-01-31T00:00:00"/>
    <s v="Brzezin"/>
    <s v="Banie"/>
    <s v="tak"/>
    <n v="2"/>
    <s v="hiszpański"/>
    <d v="2009-08-08T00:00:00"/>
    <x v="1"/>
    <x v="1"/>
    <n v="75400"/>
  </r>
  <r>
    <n v="85"/>
    <s v="Rokita"/>
    <s v="Stanisław"/>
    <d v="1991-01-15T00:00:00"/>
    <s v="Czarnkow"/>
    <s v="Bydgoszcz"/>
    <s v="tak"/>
    <n v="6"/>
    <s v=" "/>
    <d v="2011-04-29T00:00:00"/>
    <x v="1"/>
    <x v="4"/>
    <n v="76120"/>
  </r>
  <r>
    <n v="86"/>
    <s v="Rondzisty"/>
    <s v="Marcin"/>
    <d v="1996-02-09T00:00:00"/>
    <s v="Mińsk"/>
    <s v="Brodnica"/>
    <s v="tak"/>
    <n v="0"/>
    <s v="rosyjski, francuski"/>
    <d v="2008-06-24T00:00:00"/>
    <x v="0"/>
    <x v="8"/>
    <n v="59944"/>
  </r>
  <r>
    <n v="87"/>
    <s v="Rudnicka "/>
    <s v="Halina"/>
    <d v="1985-10-02T00:00:00"/>
    <s v="Lubanowo"/>
    <s v="Iława"/>
    <s v="nie"/>
    <n v="3"/>
    <s v="niemiecki, hiszpański"/>
    <d v="2014-06-21T00:00:00"/>
    <x v="1"/>
    <x v="1"/>
    <n v="94729"/>
  </r>
  <r>
    <n v="88"/>
    <s v="Rudnicki"/>
    <s v="Józef"/>
    <d v="1991-06-01T00:00:00"/>
    <s v="Świecie"/>
    <s v="Świdnik"/>
    <s v="tak"/>
    <n v="1"/>
    <s v="francuski, niemiecki"/>
    <d v="2011-07-05T00:00:00"/>
    <x v="1"/>
    <x v="4"/>
    <n v="73900"/>
  </r>
  <r>
    <n v="89"/>
    <s v="Runowicz"/>
    <s v="Wojciech"/>
    <d v="1990-02-15T00:00:00"/>
    <s v="Szczecin"/>
    <s v="Chełm"/>
    <s v="tak"/>
    <n v="1"/>
    <s v="angielski"/>
    <d v="2009-01-14T00:00:00"/>
    <x v="5"/>
    <x v="0"/>
    <n v="58990"/>
  </r>
  <r>
    <n v="90"/>
    <s v="Rybak"/>
    <s v="Piotr"/>
    <d v="1981-04-14T00:00:00"/>
    <s v="Cedynia"/>
    <s v="Gdańsk"/>
    <s v="nie"/>
    <n v="0"/>
    <s v=" "/>
    <d v="2013-10-31T00:00:00"/>
    <x v="1"/>
    <x v="1"/>
    <n v="84316"/>
  </r>
  <r>
    <n v="91"/>
    <s v="Sadowski"/>
    <s v="Piotr"/>
    <d v="1972-07-07T00:00:00"/>
    <s v="Szczecin"/>
    <s v="Chełm"/>
    <s v="tak"/>
    <n v="3"/>
    <s v=" "/>
    <d v="2009-04-01T00:00:00"/>
    <x v="1"/>
    <x v="4"/>
    <n v="76120"/>
  </r>
  <r>
    <n v="92"/>
    <s v="Samborska"/>
    <s v="Małgorzata"/>
    <d v="1994-01-25T00:00:00"/>
    <s v="Chojnice"/>
    <s v="Biała Podlaska"/>
    <s v="tak"/>
    <n v="0"/>
    <s v="angielski"/>
    <d v="2008-07-13T00:00:00"/>
    <x v="1"/>
    <x v="6"/>
    <n v="125044"/>
  </r>
  <r>
    <n v="93"/>
    <s v="Skrzypczak"/>
    <s v="Jadwiga"/>
    <d v="1970-09-30T00:00:00"/>
    <s v="Barlinek"/>
    <s v="Cedynia"/>
    <s v="tak"/>
    <n v="1"/>
    <s v=" "/>
    <d v="2014-06-05T00:00:00"/>
    <x v="1"/>
    <x v="6"/>
    <n v="73930"/>
  </r>
  <r>
    <n v="94"/>
    <s v="Sroka"/>
    <s v="Wanda"/>
    <d v="1980-11-13T00:00:00"/>
    <s v="Bielsko Biała"/>
    <s v="Biała Podlaska"/>
    <s v="tak"/>
    <n v="0"/>
    <s v="angielski"/>
    <d v="2013-04-27T00:00:00"/>
    <x v="5"/>
    <x v="0"/>
    <n v="81838"/>
  </r>
  <r>
    <n v="95"/>
    <s v="Srokowska"/>
    <s v="Izabella"/>
    <d v="1974-09-15T00:00:00"/>
    <s v="Poznań"/>
    <s v="Bydgoszcz"/>
    <s v="tak"/>
    <n v="1"/>
    <s v="angielski"/>
    <d v="2009-08-22T00:00:00"/>
    <x v="1"/>
    <x v="1"/>
    <n v="120250"/>
  </r>
  <r>
    <n v="96"/>
    <s v="Szablewska"/>
    <s v="Monika"/>
    <d v="1982-02-28T00:00:00"/>
    <s v="Szczecin"/>
    <s v="Brodnica"/>
    <s v="tak"/>
    <n v="0"/>
    <s v="angielski"/>
    <d v="2009-07-23T00:00:00"/>
    <x v="1"/>
    <x v="1"/>
    <n v="174340"/>
  </r>
  <r>
    <n v="97"/>
    <s v="Szafko"/>
    <s v="Radosław"/>
    <d v="1974-06-07T00:00:00"/>
    <s v="Wrocław"/>
    <s v="Chojna"/>
    <s v="tak"/>
    <n v="1"/>
    <s v=" "/>
    <d v="2007-08-17T00:00:00"/>
    <x v="0"/>
    <x v="0"/>
    <n v="51940"/>
  </r>
  <r>
    <n v="98"/>
    <s v="Szafko"/>
    <s v="Radosław"/>
    <d v="2003-02-11T00:00:00"/>
    <s v="Szczecin"/>
    <s v="Chełm"/>
    <s v="tak"/>
    <n v="1"/>
    <s v=" "/>
    <d v="2008-01-05T00:00:00"/>
    <x v="1"/>
    <x v="4"/>
    <n v="73930"/>
  </r>
  <r>
    <n v="99"/>
    <s v="Szkudlarek"/>
    <s v="Jolanta"/>
    <d v="1999-02-03T00:00:00"/>
    <s v="Brześć"/>
    <s v="Brodnica"/>
    <s v="nie"/>
    <n v="1"/>
    <s v="niemiecki"/>
    <d v="2007-11-16T00:00:00"/>
    <x v="1"/>
    <x v="1"/>
    <n v="118330"/>
  </r>
  <r>
    <n v="100"/>
    <s v="Szymański"/>
    <s v="Jan"/>
    <d v="1980-10-11T00:00:00"/>
    <s v="Czerniakrobek"/>
    <s v="Banie"/>
    <s v="tak"/>
    <n v="2"/>
    <s v="rosyjski"/>
    <d v="2013-01-19T00:00:00"/>
    <x v="1"/>
    <x v="1"/>
    <n v="94720"/>
  </r>
  <r>
    <n v="101"/>
    <s v="Szymczak"/>
    <s v="Janusz"/>
    <d v="1994-07-02T00:00:00"/>
    <s v="Cedynia"/>
    <s v="Bydgoszcz"/>
    <s v="tak"/>
    <n v="6"/>
    <s v="niemiecki"/>
    <d v="2009-05-04T00:00:00"/>
    <x v="5"/>
    <x v="0"/>
    <n v="68864"/>
  </r>
  <r>
    <n v="102"/>
    <s v="Śliwińska"/>
    <s v="Magdalena"/>
    <d v="1984-08-28T00:00:00"/>
    <s v="Białogard"/>
    <s v="Cedynia"/>
    <s v="tak"/>
    <n v="1"/>
    <s v="hiszpański"/>
    <d v="2007-09-15T00:00:00"/>
    <x v="4"/>
    <x v="7"/>
    <n v="76600"/>
  </r>
  <r>
    <n v="103"/>
    <s v="Taukin"/>
    <s v="Karina"/>
    <d v="1975-12-28T00:00:00"/>
    <s v="Szczecin"/>
    <s v="Chełm"/>
    <s v="tak"/>
    <n v="0"/>
    <s v=" "/>
    <d v="2007-10-24T00:00:00"/>
    <x v="1"/>
    <x v="6"/>
    <n v="84316"/>
  </r>
  <r>
    <n v="104"/>
    <s v="Taukin"/>
    <s v="Katarzyna"/>
    <d v="1972-02-20T00:00:00"/>
    <s v="Szczecin"/>
    <s v="Brodnica"/>
    <s v="tak"/>
    <n v="1"/>
    <s v="hiszpański"/>
    <d v="2008-02-27T00:00:00"/>
    <x v="4"/>
    <x v="7"/>
    <n v="76600"/>
  </r>
  <r>
    <n v="105"/>
    <s v="Tokarczuk"/>
    <s v="Agata"/>
    <d v="1993-12-16T00:00:00"/>
    <s v="Brzeg Dolny"/>
    <s v="Bydgoszcz"/>
    <s v="tak"/>
    <n v="4"/>
    <s v="niemiecki, angielski"/>
    <d v="2007-11-24T00:00:00"/>
    <x v="0"/>
    <x v="0"/>
    <n v="127900"/>
  </r>
  <r>
    <n v="106"/>
    <s v="Trela"/>
    <s v="Anna"/>
    <d v="1983-03-24T00:00:00"/>
    <s v="Biała Podlaska"/>
    <s v="Banie"/>
    <s v="nie"/>
    <n v="1"/>
    <s v=" "/>
    <d v="2006-03-26T00:00:00"/>
    <x v="1"/>
    <x v="1"/>
    <n v="136000"/>
  </r>
  <r>
    <n v="107"/>
    <s v="Turski"/>
    <s v="Zbigniew"/>
    <d v="1987-01-13T00:00:00"/>
    <s v="Świnoujście"/>
    <s v="Świdnik"/>
    <s v="tak"/>
    <n v="2"/>
    <s v=" "/>
    <d v="2013-11-22T00:00:00"/>
    <x v="1"/>
    <x v="6"/>
    <n v="53650"/>
  </r>
  <r>
    <n v="108"/>
    <s v="Twardowski"/>
    <s v="Czesław"/>
    <d v="1976-07-02T00:00:00"/>
    <s v="Szczecin"/>
    <s v="Brodnica"/>
    <s v="tak"/>
    <n v="0"/>
    <s v="angielski"/>
    <d v="2006-05-25T00:00:00"/>
    <x v="5"/>
    <x v="8"/>
    <n v="81838"/>
  </r>
  <r>
    <n v="109"/>
    <s v="Tymicz"/>
    <s v="Zenon"/>
    <d v="1998-10-29T00:00:00"/>
    <s v="Barlinek"/>
    <s v="Cedynia"/>
    <s v="tak"/>
    <n v="5"/>
    <s v="angielski, rosyjski"/>
    <d v="2007-12-11T00:00:00"/>
    <x v="3"/>
    <x v="7"/>
    <n v="66700"/>
  </r>
  <r>
    <n v="110"/>
    <s v="Wierzbicki"/>
    <s v="Piotr"/>
    <d v="1982-03-03T00:00:00"/>
    <s v="Szczecin"/>
    <s v="Chełm"/>
    <s v="tak"/>
    <n v="2"/>
    <s v="hiszpański"/>
    <d v="2008-09-13T00:00:00"/>
    <x v="1"/>
    <x v="4"/>
    <n v="138010"/>
  </r>
  <r>
    <n v="111"/>
    <s v="Wiśniewska"/>
    <s v="Grażyna"/>
    <d v="1998-10-31T00:00:00"/>
    <s v="Chełmża"/>
    <s v="Bydgoszcz"/>
    <s v="tak"/>
    <n v="3"/>
    <s v="hiszpański, angielski"/>
    <d v="2008-09-16T00:00:00"/>
    <x v="0"/>
    <x v="0"/>
    <n v="91996"/>
  </r>
  <r>
    <n v="112"/>
    <s v="Wojciechowska"/>
    <s v="Ewa"/>
    <d v="1981-02-02T00:00:00"/>
    <s v="Chojna"/>
    <s v="Biała Podlaska"/>
    <s v="tak"/>
    <n v="4"/>
    <s v="hiszpański"/>
    <d v="2014-03-11T00:00:00"/>
    <x v="1"/>
    <x v="6"/>
    <n v="92290"/>
  </r>
  <r>
    <n v="113"/>
    <s v="Wojciechowski"/>
    <s v="Paweł"/>
    <d v="1974-07-10T00:00:00"/>
    <s v="Szczecin"/>
    <s v="Chełm"/>
    <s v="tak"/>
    <n v="0"/>
    <s v="niemiecki"/>
    <d v="2009-07-04T00:00:00"/>
    <x v="1"/>
    <x v="6"/>
    <n v="74200"/>
  </r>
  <r>
    <n v="114"/>
    <s v="Wojtas"/>
    <s v="Ewelina"/>
    <d v="1979-07-22T00:00:00"/>
    <s v="Resko"/>
    <s v="Świdnik"/>
    <s v="tak"/>
    <n v="0"/>
    <s v="angielski"/>
    <d v="2008-04-06T00:00:00"/>
    <x v="2"/>
    <x v="3"/>
    <n v="88726"/>
  </r>
  <r>
    <n v="115"/>
    <s v="Wojtyła"/>
    <s v="Joanna"/>
    <d v="1980-12-06T00:00:00"/>
    <s v="Piaski"/>
    <s v="Piaski"/>
    <s v="tak"/>
    <n v="2"/>
    <s v=" "/>
    <d v="2009-06-22T00:00:00"/>
    <x v="1"/>
    <x v="4"/>
    <n v="53650"/>
  </r>
  <r>
    <n v="116"/>
    <s v="Wójcicki"/>
    <s v="Kamil"/>
    <d v="1974-05-16T00:00:00"/>
    <s v="Szczecin"/>
    <s v="Chojna"/>
    <s v="tak"/>
    <n v="1"/>
    <s v="rosyjski"/>
    <d v="2009-10-09T00:00:00"/>
    <x v="0"/>
    <x v="0"/>
    <n v="53254"/>
  </r>
  <r>
    <n v="117"/>
    <s v="Wysocki"/>
    <s v="Rafał"/>
    <d v="1978-08-31T00:00:00"/>
    <s v="Burzenin"/>
    <s v="Bydgoszcz"/>
    <s v="tak"/>
    <n v="3"/>
    <s v=" "/>
    <d v="2013-09-17T00:00:00"/>
    <x v="1"/>
    <x v="11"/>
    <n v="83074"/>
  </r>
  <r>
    <n v="118"/>
    <s v="Zabawa"/>
    <s v="Krzysztof"/>
    <d v="2001-08-17T00:00:00"/>
    <s v="Szczecin"/>
    <s v="Chełm"/>
    <s v="tak"/>
    <n v="3"/>
    <s v="hiszpański, francuski"/>
    <d v="2008-10-07T00:00:00"/>
    <x v="0"/>
    <x v="12"/>
    <n v="124822"/>
  </r>
  <r>
    <n v="119"/>
    <s v="Zalewski"/>
    <s v="Robert"/>
    <d v="1998-06-21T00:00:00"/>
    <s v="Cieplice Śląskie-Zdrój"/>
    <s v="Biała Podlaska"/>
    <s v="tak"/>
    <n v="2"/>
    <s v="niemiecki, hiszpański"/>
    <d v="2006-05-26T00:00:00"/>
    <x v="1"/>
    <x v="6"/>
    <n v="138010"/>
  </r>
  <r>
    <n v="120"/>
    <s v="Żakowski"/>
    <s v="Robert"/>
    <d v="1994-01-07T00:00:00"/>
    <s v=" "/>
    <s v="Świdnik"/>
    <s v="tak"/>
    <n v="0"/>
    <s v="francuski"/>
    <d v="2012-06-24T00:00:00"/>
    <x v="0"/>
    <x v="8"/>
    <n v="989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F352E-3938-485D-9B0E-42C7B18C20F1}" name="Tabela przestawna2" cacheId="259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3:O11" firstHeaderRow="1" firstDataRow="2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7">
        <item x="0"/>
        <item x="5"/>
        <item x="4"/>
        <item x="1"/>
        <item x="2"/>
        <item x="3"/>
        <item t="default"/>
      </items>
    </pivotField>
    <pivotField axis="axisCol" compact="0" outline="0" showAll="0">
      <items count="14">
        <item x="9"/>
        <item x="10"/>
        <item x="3"/>
        <item x="1"/>
        <item x="11"/>
        <item x="8"/>
        <item x="7"/>
        <item x="6"/>
        <item x="0"/>
        <item x="12"/>
        <item x="4"/>
        <item x="5"/>
        <item x="2"/>
        <item t="default"/>
      </items>
    </pivotField>
    <pivotField dataField="1" compact="0" numFmtId="3" outline="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a z Rocznie" fld="12" baseField="0" baseItem="0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1A18B-126D-460D-AC38-8BC134B67417}" name="Tabela1" displayName="Tabela1" ref="A1:O121" totalsRowShown="0" headerRowDxfId="17" dataDxfId="16" tableBorderDxfId="15">
  <autoFilter ref="A1:O121" xr:uid="{BA91A18B-126D-460D-AC38-8BC134B67417}"/>
  <tableColumns count="15">
    <tableColumn id="1" xr3:uid="{C6218E28-252F-4377-A91D-2318B526D3C1}" name="Lp" dataDxfId="14"/>
    <tableColumn id="2" xr3:uid="{982D73E2-A603-4555-BA31-A8362CB23944}" name="Nazwisko" dataDxfId="13"/>
    <tableColumn id="3" xr3:uid="{301D3618-C60A-4CC4-A96D-F9FE8CB4786E}" name="Imie" dataDxfId="12"/>
    <tableColumn id="4" xr3:uid="{C45D83D9-0C3E-437A-A441-7D020D7FFB95}" name="data_ur" dataDxfId="11"/>
    <tableColumn id="5" xr3:uid="{A2D10B90-FE5D-43A1-B84E-E817D94B3F6F}" name="miejsce_ur" dataDxfId="10"/>
    <tableColumn id="6" xr3:uid="{113E2255-5F94-49E7-A1EC-6805F32CDFD3}" name="miejscowosc" dataDxfId="9"/>
    <tableColumn id="7" xr3:uid="{31A18BF9-1AC6-4DDD-A7C8-14044551B62B}" name="żona/mąż" dataDxfId="8"/>
    <tableColumn id="8" xr3:uid="{4E055013-1C08-423D-A6F5-C5DAC6D33FA8}" name="dzieci" dataDxfId="7"/>
    <tableColumn id="9" xr3:uid="{B898198B-C380-41DB-A891-07FFB03B6DEA}" name="jezyk" dataDxfId="6"/>
    <tableColumn id="10" xr3:uid="{BBBC1D88-D294-43E3-BC03-997F62E5EEF9}" name="zatrudniony" dataDxfId="5"/>
    <tableColumn id="11" xr3:uid="{D76EA255-88F6-427F-9E8F-36C8CCAEDB71}" name="dzial" dataDxfId="4"/>
    <tableColumn id="12" xr3:uid="{ABA32D33-64B7-4E8A-A4C8-ECEEC04AEEF1}" name="stanowisko" dataDxfId="3"/>
    <tableColumn id="13" xr3:uid="{607E4A88-62BD-427A-80A9-80669815A4CF}" name="Rocznie" dataDxfId="2"/>
    <tableColumn id="14" xr3:uid="{DA3372CD-0060-4C0F-AF18-FFB54F748F37}" name="Dochód na każdego członka rodziny " dataDxfId="1"/>
    <tableColumn id="15" xr3:uid="{CB9DADB0-F27C-4286-92F0-6E404C006E8A}" name="Ukończone lata" dataDxfId="0">
      <calculatedColumnFormula>DATEDIF(D2,TODAY(),"Y")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workbookViewId="0">
      <selection activeCell="M1" sqref="M1:M115"/>
    </sheetView>
  </sheetViews>
  <sheetFormatPr defaultRowHeight="15"/>
  <cols>
    <col min="2" max="2" width="14.28515625" bestFit="1" customWidth="1"/>
    <col min="3" max="3" width="11" bestFit="1" customWidth="1"/>
    <col min="4" max="4" width="10.7109375" bestFit="1" customWidth="1"/>
    <col min="5" max="5" width="19.42578125" bestFit="1" customWidth="1"/>
    <col min="6" max="6" width="14.85546875" bestFit="1" customWidth="1"/>
    <col min="7" max="7" width="11.7109375" bestFit="1" customWidth="1"/>
    <col min="9" max="9" width="19" bestFit="1" customWidth="1"/>
    <col min="10" max="10" width="13.5703125" bestFit="1" customWidth="1"/>
    <col min="11" max="11" width="11.7109375" bestFit="1" customWidth="1"/>
    <col min="12" max="12" width="15.7109375" bestFit="1" customWidth="1"/>
    <col min="13" max="13" width="10.140625" bestFit="1" customWidth="1"/>
    <col min="14" max="14" width="36.5703125" bestFit="1" customWidth="1"/>
    <col min="15" max="15" width="24.85546875" bestFit="1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7" t="s">
        <v>13</v>
      </c>
      <c r="O1" s="17" t="s">
        <v>14</v>
      </c>
    </row>
    <row r="2" spans="1:15">
      <c r="A2" s="1">
        <v>1</v>
      </c>
      <c r="B2" s="1" t="s">
        <v>15</v>
      </c>
      <c r="C2" s="1" t="s">
        <v>16</v>
      </c>
      <c r="D2" s="2">
        <v>34902</v>
      </c>
      <c r="E2" s="1" t="s">
        <v>17</v>
      </c>
      <c r="F2" s="1" t="s">
        <v>18</v>
      </c>
      <c r="G2" s="1" t="s">
        <v>19</v>
      </c>
      <c r="H2" s="1">
        <v>3</v>
      </c>
      <c r="I2" s="1" t="s">
        <v>20</v>
      </c>
      <c r="J2" s="2">
        <v>40021</v>
      </c>
      <c r="K2" s="1" t="s">
        <v>21</v>
      </c>
      <c r="L2" s="1" t="s">
        <v>22</v>
      </c>
      <c r="M2" s="3">
        <v>83269</v>
      </c>
      <c r="N2" s="23">
        <f>M2 / (H2 + 2)</f>
        <v>16653.8</v>
      </c>
      <c r="O2" s="22">
        <f ca="1">DATEDIF(D2,TODAY(),"Y")</f>
        <v>30</v>
      </c>
    </row>
    <row r="3" spans="1:15">
      <c r="A3" s="1">
        <v>2</v>
      </c>
      <c r="B3" s="1" t="s">
        <v>23</v>
      </c>
      <c r="C3" s="1" t="s">
        <v>24</v>
      </c>
      <c r="D3" s="2">
        <v>35318</v>
      </c>
      <c r="E3" s="1" t="s">
        <v>25</v>
      </c>
      <c r="F3" s="1" t="s">
        <v>26</v>
      </c>
      <c r="G3" s="1" t="s">
        <v>27</v>
      </c>
      <c r="H3" s="1">
        <v>0</v>
      </c>
      <c r="I3" s="1" t="s">
        <v>28</v>
      </c>
      <c r="J3" s="2">
        <v>39340</v>
      </c>
      <c r="K3" s="1" t="s">
        <v>21</v>
      </c>
      <c r="L3" s="1" t="s">
        <v>22</v>
      </c>
      <c r="M3" s="3">
        <v>98185</v>
      </c>
      <c r="N3" s="16">
        <f>M3 / (H3 + 1)</f>
        <v>98185</v>
      </c>
      <c r="O3" s="22">
        <f t="shared" ref="O2:O33" ca="1" si="0">DATEDIF(D3,TODAY(),"Y")</f>
        <v>29</v>
      </c>
    </row>
    <row r="4" spans="1:15">
      <c r="A4" s="1">
        <v>3</v>
      </c>
      <c r="B4" s="1" t="s">
        <v>23</v>
      </c>
      <c r="C4" s="1" t="s">
        <v>29</v>
      </c>
      <c r="D4" s="2">
        <v>28958</v>
      </c>
      <c r="E4" s="1" t="s">
        <v>30</v>
      </c>
      <c r="F4" s="1" t="s">
        <v>31</v>
      </c>
      <c r="G4" s="1" t="s">
        <v>19</v>
      </c>
      <c r="H4" s="1">
        <v>4</v>
      </c>
      <c r="I4" s="1" t="s">
        <v>20</v>
      </c>
      <c r="J4" s="2">
        <v>41240</v>
      </c>
      <c r="K4" s="1" t="s">
        <v>32</v>
      </c>
      <c r="L4" s="1" t="s">
        <v>33</v>
      </c>
      <c r="M4" s="3">
        <v>63283</v>
      </c>
      <c r="N4" s="23">
        <f t="shared" ref="N4:N11" si="1">M4 / (H4 + 2)</f>
        <v>10547.166666666666</v>
      </c>
      <c r="O4" s="22">
        <f t="shared" ca="1" si="0"/>
        <v>46</v>
      </c>
    </row>
    <row r="5" spans="1:15">
      <c r="A5" s="1">
        <v>4</v>
      </c>
      <c r="B5" s="1" t="s">
        <v>34</v>
      </c>
      <c r="C5" s="1" t="s">
        <v>24</v>
      </c>
      <c r="D5" s="2">
        <v>33293</v>
      </c>
      <c r="E5" s="1" t="s">
        <v>35</v>
      </c>
      <c r="F5" s="1" t="s">
        <v>36</v>
      </c>
      <c r="G5" s="1" t="s">
        <v>19</v>
      </c>
      <c r="H5" s="1">
        <v>5</v>
      </c>
      <c r="I5" s="1" t="s">
        <v>37</v>
      </c>
      <c r="J5" s="2">
        <v>38806</v>
      </c>
      <c r="K5" s="1" t="s">
        <v>32</v>
      </c>
      <c r="L5" s="1" t="s">
        <v>38</v>
      </c>
      <c r="M5" s="3">
        <v>186556</v>
      </c>
      <c r="N5" s="23">
        <f t="shared" si="1"/>
        <v>26650.857142857141</v>
      </c>
      <c r="O5" s="22">
        <f t="shared" ca="1" si="0"/>
        <v>34</v>
      </c>
    </row>
    <row r="6" spans="1:15">
      <c r="A6" s="1">
        <v>5</v>
      </c>
      <c r="B6" s="1" t="s">
        <v>34</v>
      </c>
      <c r="C6" s="1" t="s">
        <v>39</v>
      </c>
      <c r="D6" s="2">
        <v>31896</v>
      </c>
      <c r="E6" s="1" t="s">
        <v>35</v>
      </c>
      <c r="F6" s="1" t="s">
        <v>40</v>
      </c>
      <c r="G6" s="1" t="s">
        <v>19</v>
      </c>
      <c r="H6" s="1">
        <v>2</v>
      </c>
      <c r="I6" s="1" t="s">
        <v>41</v>
      </c>
      <c r="J6" s="2">
        <v>39875</v>
      </c>
      <c r="K6" s="1" t="s">
        <v>32</v>
      </c>
      <c r="L6" s="1" t="s">
        <v>33</v>
      </c>
      <c r="M6" s="3">
        <v>125380</v>
      </c>
      <c r="N6" s="23">
        <f t="shared" si="1"/>
        <v>31345</v>
      </c>
      <c r="O6" s="22">
        <f t="shared" ca="1" si="0"/>
        <v>38</v>
      </c>
    </row>
    <row r="7" spans="1:15">
      <c r="A7" s="1">
        <v>6</v>
      </c>
      <c r="B7" s="1" t="s">
        <v>42</v>
      </c>
      <c r="C7" s="1" t="s">
        <v>43</v>
      </c>
      <c r="D7" s="2">
        <v>28874</v>
      </c>
      <c r="E7" s="1" t="s">
        <v>44</v>
      </c>
      <c r="F7" s="1" t="s">
        <v>31</v>
      </c>
      <c r="G7" s="1" t="s">
        <v>19</v>
      </c>
      <c r="H7" s="1">
        <v>2</v>
      </c>
      <c r="I7" s="1" t="s">
        <v>45</v>
      </c>
      <c r="J7" s="2">
        <v>40703</v>
      </c>
      <c r="K7" s="1" t="s">
        <v>46</v>
      </c>
      <c r="L7" s="1" t="s">
        <v>47</v>
      </c>
      <c r="M7" s="3">
        <v>92650</v>
      </c>
      <c r="N7" s="23">
        <f t="shared" si="1"/>
        <v>23162.5</v>
      </c>
      <c r="O7" s="22">
        <f t="shared" ca="1" si="0"/>
        <v>47</v>
      </c>
    </row>
    <row r="8" spans="1:15">
      <c r="A8" s="1">
        <v>7</v>
      </c>
      <c r="B8" s="1" t="s">
        <v>48</v>
      </c>
      <c r="C8" s="1" t="s">
        <v>49</v>
      </c>
      <c r="D8" s="2">
        <v>27895</v>
      </c>
      <c r="E8" s="1" t="s">
        <v>50</v>
      </c>
      <c r="F8" s="1" t="s">
        <v>36</v>
      </c>
      <c r="G8" s="1" t="s">
        <v>19</v>
      </c>
      <c r="H8" s="1">
        <v>2</v>
      </c>
      <c r="I8" s="1" t="s">
        <v>51</v>
      </c>
      <c r="J8" s="2">
        <v>41300</v>
      </c>
      <c r="K8" s="1" t="s">
        <v>21</v>
      </c>
      <c r="L8" s="1" t="s">
        <v>22</v>
      </c>
      <c r="M8" s="3">
        <v>70726</v>
      </c>
      <c r="N8" s="23">
        <f t="shared" si="1"/>
        <v>17681.5</v>
      </c>
      <c r="O8" s="22">
        <f t="shared" ca="1" si="0"/>
        <v>49</v>
      </c>
    </row>
    <row r="9" spans="1:15">
      <c r="A9" s="1">
        <v>8</v>
      </c>
      <c r="B9" s="1" t="s">
        <v>52</v>
      </c>
      <c r="C9" s="1" t="s">
        <v>53</v>
      </c>
      <c r="D9" s="2">
        <v>26913</v>
      </c>
      <c r="E9" s="1" t="s">
        <v>54</v>
      </c>
      <c r="F9" s="1" t="s">
        <v>54</v>
      </c>
      <c r="G9" s="1" t="s">
        <v>19</v>
      </c>
      <c r="H9" s="1">
        <v>0</v>
      </c>
      <c r="I9" s="1" t="s">
        <v>45</v>
      </c>
      <c r="J9" s="2">
        <v>40684</v>
      </c>
      <c r="K9" s="1" t="s">
        <v>32</v>
      </c>
      <c r="L9" s="1" t="s">
        <v>55</v>
      </c>
      <c r="M9" s="3">
        <v>74200</v>
      </c>
      <c r="N9" s="23">
        <f t="shared" si="1"/>
        <v>37100</v>
      </c>
      <c r="O9" s="22">
        <f t="shared" ca="1" si="0"/>
        <v>52</v>
      </c>
    </row>
    <row r="10" spans="1:15">
      <c r="A10" s="1">
        <v>9</v>
      </c>
      <c r="B10" s="1" t="s">
        <v>56</v>
      </c>
      <c r="C10" s="1" t="s">
        <v>57</v>
      </c>
      <c r="D10" s="2">
        <v>28785</v>
      </c>
      <c r="E10" s="1" t="s">
        <v>58</v>
      </c>
      <c r="F10" s="1" t="s">
        <v>54</v>
      </c>
      <c r="G10" s="1" t="s">
        <v>19</v>
      </c>
      <c r="H10" s="1">
        <v>2</v>
      </c>
      <c r="I10" s="1" t="s">
        <v>59</v>
      </c>
      <c r="J10" s="2">
        <v>39707</v>
      </c>
      <c r="K10" s="1" t="s">
        <v>32</v>
      </c>
      <c r="L10" s="1" t="s">
        <v>33</v>
      </c>
      <c r="M10" s="3">
        <v>92290</v>
      </c>
      <c r="N10" s="23">
        <f t="shared" si="1"/>
        <v>23072.5</v>
      </c>
      <c r="O10" s="22">
        <f t="shared" ca="1" si="0"/>
        <v>47</v>
      </c>
    </row>
    <row r="11" spans="1:15">
      <c r="A11" s="1">
        <v>10</v>
      </c>
      <c r="B11" s="1" t="s">
        <v>60</v>
      </c>
      <c r="C11" s="1" t="s">
        <v>61</v>
      </c>
      <c r="D11" s="2">
        <v>28240</v>
      </c>
      <c r="E11" s="1" t="s">
        <v>25</v>
      </c>
      <c r="F11" s="1" t="s">
        <v>54</v>
      </c>
      <c r="G11" s="1" t="s">
        <v>19</v>
      </c>
      <c r="H11" s="1">
        <v>4</v>
      </c>
      <c r="I11" s="1" t="s">
        <v>20</v>
      </c>
      <c r="J11" s="2">
        <v>38844</v>
      </c>
      <c r="K11" s="1" t="s">
        <v>32</v>
      </c>
      <c r="L11" s="1" t="s">
        <v>33</v>
      </c>
      <c r="M11" s="3">
        <v>63283</v>
      </c>
      <c r="N11" s="23">
        <f t="shared" si="1"/>
        <v>10547.166666666666</v>
      </c>
      <c r="O11" s="22">
        <f t="shared" ca="1" si="0"/>
        <v>48</v>
      </c>
    </row>
    <row r="12" spans="1:15">
      <c r="A12" s="1">
        <v>11</v>
      </c>
      <c r="B12" s="1" t="s">
        <v>62</v>
      </c>
      <c r="C12" s="1" t="s">
        <v>63</v>
      </c>
      <c r="D12" s="2">
        <v>26501</v>
      </c>
      <c r="E12" s="1" t="s">
        <v>54</v>
      </c>
      <c r="F12" s="1" t="s">
        <v>40</v>
      </c>
      <c r="G12" s="1" t="s">
        <v>27</v>
      </c>
      <c r="H12" s="1">
        <v>3</v>
      </c>
      <c r="I12" s="1" t="s">
        <v>64</v>
      </c>
      <c r="J12" s="2">
        <v>41392</v>
      </c>
      <c r="K12" s="1" t="s">
        <v>46</v>
      </c>
      <c r="L12" s="1" t="s">
        <v>47</v>
      </c>
      <c r="M12" s="3">
        <v>97690</v>
      </c>
      <c r="N12" s="16">
        <f t="shared" ref="N2:N33" si="2">M12 / (H12 + 1)</f>
        <v>24422.5</v>
      </c>
      <c r="O12" s="22">
        <f t="shared" ca="1" si="0"/>
        <v>53</v>
      </c>
    </row>
    <row r="13" spans="1:15">
      <c r="A13" s="1">
        <v>12</v>
      </c>
      <c r="B13" s="1" t="s">
        <v>65</v>
      </c>
      <c r="C13" s="1" t="s">
        <v>66</v>
      </c>
      <c r="D13" s="2">
        <v>30399</v>
      </c>
      <c r="E13" s="1" t="s">
        <v>67</v>
      </c>
      <c r="F13" s="1" t="s">
        <v>54</v>
      </c>
      <c r="G13" s="1" t="s">
        <v>19</v>
      </c>
      <c r="H13" s="1">
        <v>1</v>
      </c>
      <c r="I13" s="1" t="s">
        <v>20</v>
      </c>
      <c r="J13" s="2">
        <v>39709</v>
      </c>
      <c r="K13" s="1" t="s">
        <v>68</v>
      </c>
      <c r="L13" s="1" t="s">
        <v>69</v>
      </c>
      <c r="M13" s="3">
        <v>79600</v>
      </c>
      <c r="N13" s="23">
        <f t="shared" ref="N13:N27" si="3">M13 / (H13 + 2)</f>
        <v>26533.333333333332</v>
      </c>
      <c r="O13" s="22">
        <f t="shared" ca="1" si="0"/>
        <v>42</v>
      </c>
    </row>
    <row r="14" spans="1:15">
      <c r="A14" s="1">
        <v>13</v>
      </c>
      <c r="B14" s="1" t="s">
        <v>70</v>
      </c>
      <c r="C14" s="1" t="s">
        <v>71</v>
      </c>
      <c r="D14" s="2">
        <v>29465</v>
      </c>
      <c r="E14" s="1" t="s">
        <v>18</v>
      </c>
      <c r="F14" s="1" t="s">
        <v>36</v>
      </c>
      <c r="G14" s="1" t="s">
        <v>19</v>
      </c>
      <c r="H14" s="1">
        <v>2</v>
      </c>
      <c r="I14" s="1" t="s">
        <v>20</v>
      </c>
      <c r="J14" s="2">
        <v>41396</v>
      </c>
      <c r="K14" s="1" t="s">
        <v>21</v>
      </c>
      <c r="L14" s="1" t="s">
        <v>22</v>
      </c>
      <c r="M14" s="3">
        <v>83269</v>
      </c>
      <c r="N14" s="23">
        <f t="shared" si="3"/>
        <v>20817.25</v>
      </c>
      <c r="O14" s="22">
        <f t="shared" ca="1" si="0"/>
        <v>45</v>
      </c>
    </row>
    <row r="15" spans="1:15">
      <c r="A15" s="1">
        <v>14</v>
      </c>
      <c r="B15" s="1" t="s">
        <v>72</v>
      </c>
      <c r="C15" s="1" t="s">
        <v>73</v>
      </c>
      <c r="D15" s="2">
        <v>30626</v>
      </c>
      <c r="E15" s="1" t="s">
        <v>74</v>
      </c>
      <c r="F15" s="1" t="s">
        <v>36</v>
      </c>
      <c r="G15" s="1" t="s">
        <v>19</v>
      </c>
      <c r="H15" s="1">
        <v>0</v>
      </c>
      <c r="I15" s="1" t="s">
        <v>20</v>
      </c>
      <c r="J15" s="2">
        <v>39802</v>
      </c>
      <c r="K15" s="1" t="s">
        <v>21</v>
      </c>
      <c r="L15" s="1" t="s">
        <v>22</v>
      </c>
      <c r="M15" s="3">
        <v>100420</v>
      </c>
      <c r="N15" s="23">
        <f t="shared" si="3"/>
        <v>50210</v>
      </c>
      <c r="O15" s="22">
        <f t="shared" ca="1" si="0"/>
        <v>42</v>
      </c>
    </row>
    <row r="16" spans="1:15">
      <c r="A16" s="1">
        <v>15</v>
      </c>
      <c r="B16" s="1" t="s">
        <v>75</v>
      </c>
      <c r="C16" s="1" t="s">
        <v>76</v>
      </c>
      <c r="D16" s="2">
        <v>28234</v>
      </c>
      <c r="E16" s="1" t="s">
        <v>77</v>
      </c>
      <c r="F16" s="1" t="s">
        <v>18</v>
      </c>
      <c r="G16" s="1" t="s">
        <v>19</v>
      </c>
      <c r="H16" s="1">
        <v>1</v>
      </c>
      <c r="I16" s="1" t="s">
        <v>20</v>
      </c>
      <c r="J16" s="2">
        <v>39870</v>
      </c>
      <c r="K16" s="1" t="s">
        <v>32</v>
      </c>
      <c r="L16" s="1" t="s">
        <v>78</v>
      </c>
      <c r="M16" s="3">
        <v>79600</v>
      </c>
      <c r="N16" s="23">
        <f t="shared" si="3"/>
        <v>26533.333333333332</v>
      </c>
      <c r="O16" s="22">
        <f t="shared" ca="1" si="0"/>
        <v>48</v>
      </c>
    </row>
    <row r="17" spans="1:15">
      <c r="A17" s="1">
        <v>16</v>
      </c>
      <c r="B17" s="1" t="s">
        <v>79</v>
      </c>
      <c r="C17" s="1" t="s">
        <v>80</v>
      </c>
      <c r="D17" s="2">
        <v>28187</v>
      </c>
      <c r="E17" s="1" t="s">
        <v>25</v>
      </c>
      <c r="F17" s="1" t="s">
        <v>26</v>
      </c>
      <c r="G17" s="1" t="s">
        <v>19</v>
      </c>
      <c r="H17" s="1">
        <v>1</v>
      </c>
      <c r="I17" s="1" t="s">
        <v>81</v>
      </c>
      <c r="J17" s="2">
        <v>39317</v>
      </c>
      <c r="K17" s="1" t="s">
        <v>21</v>
      </c>
      <c r="L17" s="1" t="s">
        <v>22</v>
      </c>
      <c r="M17" s="3">
        <v>79600</v>
      </c>
      <c r="N17" s="23">
        <f t="shared" si="3"/>
        <v>26533.333333333332</v>
      </c>
      <c r="O17" s="22">
        <f t="shared" ca="1" si="0"/>
        <v>48</v>
      </c>
    </row>
    <row r="18" spans="1:15">
      <c r="A18" s="1">
        <v>17</v>
      </c>
      <c r="B18" s="1" t="s">
        <v>82</v>
      </c>
      <c r="C18" s="1" t="s">
        <v>83</v>
      </c>
      <c r="D18" s="2">
        <v>26227</v>
      </c>
      <c r="E18" s="1" t="s">
        <v>25</v>
      </c>
      <c r="F18" s="1" t="s">
        <v>18</v>
      </c>
      <c r="G18" s="1" t="s">
        <v>19</v>
      </c>
      <c r="H18" s="1">
        <v>3</v>
      </c>
      <c r="I18" s="1" t="s">
        <v>20</v>
      </c>
      <c r="J18" s="2">
        <v>39565</v>
      </c>
      <c r="K18" s="1" t="s">
        <v>32</v>
      </c>
      <c r="L18" s="1" t="s">
        <v>78</v>
      </c>
      <c r="M18" s="3">
        <v>56995</v>
      </c>
      <c r="N18" s="23">
        <f t="shared" si="3"/>
        <v>11399</v>
      </c>
      <c r="O18" s="22">
        <f t="shared" ca="1" si="0"/>
        <v>54</v>
      </c>
    </row>
    <row r="19" spans="1:15">
      <c r="A19" s="1">
        <v>18</v>
      </c>
      <c r="B19" s="1" t="s">
        <v>84</v>
      </c>
      <c r="C19" s="1" t="s">
        <v>85</v>
      </c>
      <c r="D19" s="2">
        <v>30718</v>
      </c>
      <c r="E19" s="1" t="s">
        <v>54</v>
      </c>
      <c r="F19" s="1" t="s">
        <v>86</v>
      </c>
      <c r="G19" s="1" t="s">
        <v>19</v>
      </c>
      <c r="H19" s="1">
        <v>3</v>
      </c>
      <c r="I19" s="1" t="s">
        <v>45</v>
      </c>
      <c r="J19" s="2">
        <v>39916</v>
      </c>
      <c r="K19" s="1" t="s">
        <v>87</v>
      </c>
      <c r="L19" s="1" t="s">
        <v>88</v>
      </c>
      <c r="M19" s="3">
        <v>83200</v>
      </c>
      <c r="N19" s="23">
        <f t="shared" si="3"/>
        <v>16640</v>
      </c>
      <c r="O19" s="22">
        <f t="shared" ca="1" si="0"/>
        <v>41</v>
      </c>
    </row>
    <row r="20" spans="1:15">
      <c r="A20" s="1">
        <v>19</v>
      </c>
      <c r="B20" s="1" t="s">
        <v>84</v>
      </c>
      <c r="C20" s="1" t="s">
        <v>89</v>
      </c>
      <c r="D20" s="2">
        <v>29537</v>
      </c>
      <c r="E20" s="1" t="s">
        <v>90</v>
      </c>
      <c r="F20" s="1" t="s">
        <v>90</v>
      </c>
      <c r="G20" s="1" t="s">
        <v>19</v>
      </c>
      <c r="H20" s="1">
        <v>2</v>
      </c>
      <c r="I20" s="1" t="s">
        <v>37</v>
      </c>
      <c r="J20" s="2">
        <v>40660</v>
      </c>
      <c r="K20" s="1" t="s">
        <v>32</v>
      </c>
      <c r="L20" s="1" t="s">
        <v>78</v>
      </c>
      <c r="M20" s="3">
        <v>127018</v>
      </c>
      <c r="N20" s="23">
        <f t="shared" si="3"/>
        <v>31754.5</v>
      </c>
      <c r="O20" s="22">
        <f t="shared" ca="1" si="0"/>
        <v>45</v>
      </c>
    </row>
    <row r="21" spans="1:15">
      <c r="A21" s="1">
        <v>20</v>
      </c>
      <c r="B21" s="1" t="s">
        <v>91</v>
      </c>
      <c r="C21" s="1" t="s">
        <v>92</v>
      </c>
      <c r="D21" s="2">
        <v>30399</v>
      </c>
      <c r="E21" s="1" t="s">
        <v>93</v>
      </c>
      <c r="F21" s="1" t="s">
        <v>90</v>
      </c>
      <c r="G21" s="1" t="s">
        <v>19</v>
      </c>
      <c r="H21" s="1">
        <v>1</v>
      </c>
      <c r="I21" s="1" t="s">
        <v>37</v>
      </c>
      <c r="J21" s="2">
        <v>39880</v>
      </c>
      <c r="K21" s="1" t="s">
        <v>21</v>
      </c>
      <c r="L21" s="1" t="s">
        <v>94</v>
      </c>
      <c r="M21" s="3">
        <v>73000</v>
      </c>
      <c r="N21" s="23">
        <f t="shared" si="3"/>
        <v>24333.333333333332</v>
      </c>
      <c r="O21" s="22">
        <f t="shared" ca="1" si="0"/>
        <v>42</v>
      </c>
    </row>
    <row r="22" spans="1:15">
      <c r="A22" s="1">
        <v>21</v>
      </c>
      <c r="B22" s="1" t="s">
        <v>95</v>
      </c>
      <c r="C22" s="1" t="s">
        <v>96</v>
      </c>
      <c r="D22" s="2">
        <v>27812</v>
      </c>
      <c r="E22" s="1" t="s">
        <v>97</v>
      </c>
      <c r="F22" s="1" t="s">
        <v>36</v>
      </c>
      <c r="G22" s="1" t="s">
        <v>19</v>
      </c>
      <c r="H22" s="1">
        <v>3</v>
      </c>
      <c r="I22" s="1" t="s">
        <v>45</v>
      </c>
      <c r="J22" s="2">
        <v>41049</v>
      </c>
      <c r="K22" s="1" t="s">
        <v>21</v>
      </c>
      <c r="L22" s="1" t="s">
        <v>22</v>
      </c>
      <c r="M22" s="3">
        <v>114760</v>
      </c>
      <c r="N22" s="23">
        <f t="shared" si="3"/>
        <v>22952</v>
      </c>
      <c r="O22" s="22">
        <f t="shared" ca="1" si="0"/>
        <v>49</v>
      </c>
    </row>
    <row r="23" spans="1:15">
      <c r="A23" s="1">
        <v>22</v>
      </c>
      <c r="B23" s="1" t="s">
        <v>98</v>
      </c>
      <c r="C23" s="1" t="s">
        <v>99</v>
      </c>
      <c r="D23" s="2">
        <v>24065</v>
      </c>
      <c r="E23" s="1" t="s">
        <v>26</v>
      </c>
      <c r="F23" s="1" t="s">
        <v>36</v>
      </c>
      <c r="G23" s="1" t="s">
        <v>19</v>
      </c>
      <c r="H23" s="1">
        <v>1</v>
      </c>
      <c r="I23" s="1" t="s">
        <v>81</v>
      </c>
      <c r="J23" s="2">
        <v>40781</v>
      </c>
      <c r="K23" s="1" t="s">
        <v>21</v>
      </c>
      <c r="L23" s="1" t="s">
        <v>22</v>
      </c>
      <c r="M23" s="3">
        <v>79600</v>
      </c>
      <c r="N23" s="23">
        <f t="shared" si="3"/>
        <v>26533.333333333332</v>
      </c>
      <c r="O23" s="22">
        <f t="shared" ca="1" si="0"/>
        <v>60</v>
      </c>
    </row>
    <row r="24" spans="1:15">
      <c r="A24" s="1">
        <v>23</v>
      </c>
      <c r="B24" s="1" t="s">
        <v>100</v>
      </c>
      <c r="C24" s="1" t="s">
        <v>101</v>
      </c>
      <c r="D24" s="2">
        <v>27648</v>
      </c>
      <c r="E24" s="1" t="s">
        <v>25</v>
      </c>
      <c r="F24" s="1" t="s">
        <v>18</v>
      </c>
      <c r="G24" s="1" t="s">
        <v>19</v>
      </c>
      <c r="H24" s="1">
        <v>2</v>
      </c>
      <c r="I24" s="1" t="s">
        <v>45</v>
      </c>
      <c r="J24" s="2">
        <v>39470</v>
      </c>
      <c r="K24" s="1" t="s">
        <v>32</v>
      </c>
      <c r="L24" s="1" t="s">
        <v>78</v>
      </c>
      <c r="M24" s="3">
        <v>125380</v>
      </c>
      <c r="N24" s="23">
        <f t="shared" si="3"/>
        <v>31345</v>
      </c>
      <c r="O24" s="22">
        <f t="shared" ca="1" si="0"/>
        <v>50</v>
      </c>
    </row>
    <row r="25" spans="1:15">
      <c r="A25" s="1">
        <v>24</v>
      </c>
      <c r="B25" s="1" t="s">
        <v>102</v>
      </c>
      <c r="C25" s="1" t="s">
        <v>103</v>
      </c>
      <c r="D25" s="2">
        <v>28122</v>
      </c>
      <c r="E25" s="1" t="s">
        <v>25</v>
      </c>
      <c r="F25" s="1" t="s">
        <v>26</v>
      </c>
      <c r="G25" s="1" t="s">
        <v>19</v>
      </c>
      <c r="H25" s="1">
        <v>1</v>
      </c>
      <c r="I25" s="1" t="s">
        <v>59</v>
      </c>
      <c r="J25" s="2">
        <v>39370</v>
      </c>
      <c r="K25" s="1" t="s">
        <v>21</v>
      </c>
      <c r="L25" s="1" t="s">
        <v>22</v>
      </c>
      <c r="M25" s="3">
        <v>91996</v>
      </c>
      <c r="N25" s="23">
        <f t="shared" si="3"/>
        <v>30665.333333333332</v>
      </c>
      <c r="O25" s="22">
        <f t="shared" ca="1" si="0"/>
        <v>49</v>
      </c>
    </row>
    <row r="26" spans="1:15">
      <c r="A26" s="1">
        <v>25</v>
      </c>
      <c r="B26" s="1" t="s">
        <v>104</v>
      </c>
      <c r="C26" s="1" t="s">
        <v>63</v>
      </c>
      <c r="D26" s="2">
        <v>34652</v>
      </c>
      <c r="E26" s="1" t="s">
        <v>105</v>
      </c>
      <c r="F26" s="1" t="s">
        <v>18</v>
      </c>
      <c r="G26" s="1" t="s">
        <v>19</v>
      </c>
      <c r="H26" s="1">
        <v>2</v>
      </c>
      <c r="I26" s="1" t="s">
        <v>37</v>
      </c>
      <c r="J26" s="2">
        <v>39497</v>
      </c>
      <c r="K26" s="1" t="s">
        <v>32</v>
      </c>
      <c r="L26" s="1" t="s">
        <v>78</v>
      </c>
      <c r="M26" s="3">
        <v>127018</v>
      </c>
      <c r="N26" s="23">
        <f t="shared" si="3"/>
        <v>31754.5</v>
      </c>
      <c r="O26" s="22">
        <f t="shared" ca="1" si="0"/>
        <v>31</v>
      </c>
    </row>
    <row r="27" spans="1:15">
      <c r="A27" s="1">
        <v>26</v>
      </c>
      <c r="B27" s="1" t="s">
        <v>106</v>
      </c>
      <c r="C27" s="1" t="s">
        <v>107</v>
      </c>
      <c r="D27" s="2">
        <v>34357</v>
      </c>
      <c r="E27" s="1" t="s">
        <v>108</v>
      </c>
      <c r="F27" s="1" t="s">
        <v>36</v>
      </c>
      <c r="G27" s="1" t="s">
        <v>19</v>
      </c>
      <c r="H27" s="1">
        <v>1</v>
      </c>
      <c r="I27" s="1" t="s">
        <v>45</v>
      </c>
      <c r="J27" s="2">
        <v>39689</v>
      </c>
      <c r="K27" s="1" t="s">
        <v>32</v>
      </c>
      <c r="L27" s="1" t="s">
        <v>78</v>
      </c>
      <c r="M27" s="3">
        <v>118900</v>
      </c>
      <c r="N27" s="23">
        <f t="shared" si="3"/>
        <v>39633.333333333336</v>
      </c>
      <c r="O27" s="22">
        <f t="shared" ca="1" si="0"/>
        <v>32</v>
      </c>
    </row>
    <row r="28" spans="1:15">
      <c r="A28" s="1">
        <v>27</v>
      </c>
      <c r="B28" s="1" t="s">
        <v>109</v>
      </c>
      <c r="C28" s="1" t="s">
        <v>110</v>
      </c>
      <c r="D28" s="2">
        <v>26553</v>
      </c>
      <c r="E28" s="1" t="s">
        <v>111</v>
      </c>
      <c r="F28" s="1" t="s">
        <v>54</v>
      </c>
      <c r="G28" s="1" t="s">
        <v>27</v>
      </c>
      <c r="H28" s="1">
        <v>0</v>
      </c>
      <c r="I28" s="1" t="s">
        <v>20</v>
      </c>
      <c r="J28" s="2">
        <v>39898</v>
      </c>
      <c r="K28" s="1" t="s">
        <v>32</v>
      </c>
      <c r="L28" s="1" t="s">
        <v>33</v>
      </c>
      <c r="M28" s="3">
        <v>105044</v>
      </c>
      <c r="N28" s="16">
        <f t="shared" si="2"/>
        <v>105044</v>
      </c>
      <c r="O28" s="22">
        <f t="shared" ca="1" si="0"/>
        <v>53</v>
      </c>
    </row>
    <row r="29" spans="1:15">
      <c r="A29" s="1">
        <v>28</v>
      </c>
      <c r="B29" s="1" t="s">
        <v>112</v>
      </c>
      <c r="C29" s="1" t="s">
        <v>113</v>
      </c>
      <c r="D29" s="2">
        <v>29207</v>
      </c>
      <c r="E29" s="1" t="s">
        <v>114</v>
      </c>
      <c r="F29" s="1" t="s">
        <v>18</v>
      </c>
      <c r="G29" s="1" t="s">
        <v>19</v>
      </c>
      <c r="H29" s="1">
        <v>1</v>
      </c>
      <c r="I29" s="1" t="s">
        <v>64</v>
      </c>
      <c r="J29" s="2">
        <v>39937</v>
      </c>
      <c r="K29" s="1" t="s">
        <v>21</v>
      </c>
      <c r="L29" s="1" t="s">
        <v>22</v>
      </c>
      <c r="M29" s="3">
        <v>66760</v>
      </c>
      <c r="N29" s="23">
        <f t="shared" ref="N29:N37" si="4">M29 / (H29 + 2)</f>
        <v>22253.333333333332</v>
      </c>
      <c r="O29" s="22">
        <f t="shared" ca="1" si="0"/>
        <v>46</v>
      </c>
    </row>
    <row r="30" spans="1:15">
      <c r="A30" s="1">
        <v>29</v>
      </c>
      <c r="B30" s="1" t="s">
        <v>115</v>
      </c>
      <c r="C30" s="1" t="s">
        <v>113</v>
      </c>
      <c r="D30" s="2">
        <v>26952</v>
      </c>
      <c r="E30" s="1" t="s">
        <v>116</v>
      </c>
      <c r="F30" s="1" t="s">
        <v>18</v>
      </c>
      <c r="G30" s="1" t="s">
        <v>19</v>
      </c>
      <c r="H30" s="1">
        <v>1</v>
      </c>
      <c r="I30" s="1" t="s">
        <v>45</v>
      </c>
      <c r="J30" s="2">
        <v>39564</v>
      </c>
      <c r="K30" s="1" t="s">
        <v>32</v>
      </c>
      <c r="L30" s="1" t="s">
        <v>78</v>
      </c>
      <c r="M30" s="3">
        <v>118900</v>
      </c>
      <c r="N30" s="23">
        <f t="shared" si="4"/>
        <v>39633.333333333336</v>
      </c>
      <c r="O30" s="22">
        <f t="shared" ca="1" si="0"/>
        <v>52</v>
      </c>
    </row>
    <row r="31" spans="1:15">
      <c r="A31" s="1">
        <v>30</v>
      </c>
      <c r="B31" s="1" t="s">
        <v>117</v>
      </c>
      <c r="C31" s="1" t="s">
        <v>118</v>
      </c>
      <c r="D31" s="2">
        <v>27049</v>
      </c>
      <c r="E31" s="1" t="s">
        <v>119</v>
      </c>
      <c r="F31" s="1" t="s">
        <v>111</v>
      </c>
      <c r="G31" s="1" t="s">
        <v>19</v>
      </c>
      <c r="H31" s="1">
        <v>3</v>
      </c>
      <c r="I31" s="1" t="s">
        <v>45</v>
      </c>
      <c r="J31" s="2">
        <v>39938</v>
      </c>
      <c r="K31" s="1" t="s">
        <v>21</v>
      </c>
      <c r="L31" s="1" t="s">
        <v>22</v>
      </c>
      <c r="M31" s="3">
        <v>114760</v>
      </c>
      <c r="N31" s="23">
        <f t="shared" si="4"/>
        <v>22952</v>
      </c>
      <c r="O31" s="22">
        <f t="shared" ca="1" si="0"/>
        <v>52</v>
      </c>
    </row>
    <row r="32" spans="1:15">
      <c r="A32" s="1">
        <v>31</v>
      </c>
      <c r="B32" s="1" t="s">
        <v>120</v>
      </c>
      <c r="C32" s="1" t="s">
        <v>121</v>
      </c>
      <c r="D32" s="2">
        <v>28186</v>
      </c>
      <c r="E32" s="1" t="s">
        <v>25</v>
      </c>
      <c r="F32" s="1" t="s">
        <v>122</v>
      </c>
      <c r="G32" s="1" t="s">
        <v>19</v>
      </c>
      <c r="H32" s="1">
        <v>5</v>
      </c>
      <c r="I32" s="1" t="s">
        <v>45</v>
      </c>
      <c r="J32" s="2">
        <v>39514</v>
      </c>
      <c r="K32" s="1" t="s">
        <v>87</v>
      </c>
      <c r="L32" s="1" t="s">
        <v>88</v>
      </c>
      <c r="M32" s="3">
        <v>83200</v>
      </c>
      <c r="N32" s="23">
        <f t="shared" si="4"/>
        <v>11885.714285714286</v>
      </c>
      <c r="O32" s="22">
        <f t="shared" ca="1" si="0"/>
        <v>48</v>
      </c>
    </row>
    <row r="33" spans="1:15">
      <c r="A33" s="1">
        <v>32</v>
      </c>
      <c r="B33" s="1" t="s">
        <v>123</v>
      </c>
      <c r="C33" s="1" t="s">
        <v>92</v>
      </c>
      <c r="D33" s="2">
        <v>31869</v>
      </c>
      <c r="E33" s="1" t="s">
        <v>18</v>
      </c>
      <c r="F33" s="1" t="s">
        <v>40</v>
      </c>
      <c r="G33" s="1" t="s">
        <v>19</v>
      </c>
      <c r="H33" s="1">
        <v>0</v>
      </c>
      <c r="I33" s="1" t="s">
        <v>37</v>
      </c>
      <c r="J33" s="2">
        <v>39473</v>
      </c>
      <c r="K33" s="1" t="s">
        <v>32</v>
      </c>
      <c r="L33" s="1" t="s">
        <v>124</v>
      </c>
      <c r="M33" s="3">
        <v>174340</v>
      </c>
      <c r="N33" s="23">
        <f t="shared" si="4"/>
        <v>87170</v>
      </c>
      <c r="O33" s="22">
        <f t="shared" ca="1" si="0"/>
        <v>38</v>
      </c>
    </row>
    <row r="34" spans="1:15">
      <c r="A34" s="1">
        <v>33</v>
      </c>
      <c r="B34" s="1" t="s">
        <v>125</v>
      </c>
      <c r="C34" s="1" t="s">
        <v>126</v>
      </c>
      <c r="D34" s="2">
        <v>31150</v>
      </c>
      <c r="E34" s="1" t="s">
        <v>93</v>
      </c>
      <c r="F34" s="1" t="s">
        <v>90</v>
      </c>
      <c r="G34" s="1" t="s">
        <v>19</v>
      </c>
      <c r="H34" s="1">
        <v>1</v>
      </c>
      <c r="I34" s="1" t="s">
        <v>127</v>
      </c>
      <c r="J34" s="2">
        <v>39867</v>
      </c>
      <c r="K34" s="1" t="s">
        <v>68</v>
      </c>
      <c r="L34" s="1" t="s">
        <v>88</v>
      </c>
      <c r="M34" s="3">
        <v>118330</v>
      </c>
      <c r="N34" s="23">
        <f t="shared" si="4"/>
        <v>39443.333333333336</v>
      </c>
      <c r="O34" s="22">
        <f t="shared" ref="O34:O65" ca="1" si="5">DATEDIF(D34,TODAY(),"Y")</f>
        <v>40</v>
      </c>
    </row>
    <row r="35" spans="1:15">
      <c r="A35" s="1">
        <v>34</v>
      </c>
      <c r="B35" s="1" t="s">
        <v>128</v>
      </c>
      <c r="C35" s="1" t="s">
        <v>129</v>
      </c>
      <c r="D35" s="2">
        <v>36127</v>
      </c>
      <c r="E35" s="1" t="s">
        <v>130</v>
      </c>
      <c r="F35" s="1" t="s">
        <v>131</v>
      </c>
      <c r="G35" s="1" t="s">
        <v>19</v>
      </c>
      <c r="H35" s="1">
        <v>1</v>
      </c>
      <c r="I35" s="1" t="s">
        <v>20</v>
      </c>
      <c r="J35" s="2">
        <v>39928</v>
      </c>
      <c r="K35" s="1" t="s">
        <v>32</v>
      </c>
      <c r="L35" s="1" t="s">
        <v>33</v>
      </c>
      <c r="M35" s="3">
        <v>108976</v>
      </c>
      <c r="N35" s="23">
        <f t="shared" si="4"/>
        <v>36325.333333333336</v>
      </c>
      <c r="O35" s="22">
        <f t="shared" ca="1" si="5"/>
        <v>27</v>
      </c>
    </row>
    <row r="36" spans="1:15">
      <c r="A36" s="1">
        <v>35</v>
      </c>
      <c r="B36" s="1" t="s">
        <v>132</v>
      </c>
      <c r="C36" s="1" t="s">
        <v>133</v>
      </c>
      <c r="D36" s="2">
        <v>23849</v>
      </c>
      <c r="E36" s="1" t="s">
        <v>134</v>
      </c>
      <c r="F36" s="1" t="s">
        <v>31</v>
      </c>
      <c r="G36" s="1" t="s">
        <v>19</v>
      </c>
      <c r="H36" s="1">
        <v>0</v>
      </c>
      <c r="I36" s="1" t="s">
        <v>45</v>
      </c>
      <c r="J36" s="2">
        <v>40780</v>
      </c>
      <c r="K36" s="1" t="s">
        <v>21</v>
      </c>
      <c r="L36" s="1" t="s">
        <v>22</v>
      </c>
      <c r="M36" s="3">
        <v>80185</v>
      </c>
      <c r="N36" s="23">
        <f t="shared" si="4"/>
        <v>40092.5</v>
      </c>
      <c r="O36" s="22">
        <f t="shared" ca="1" si="5"/>
        <v>60</v>
      </c>
    </row>
    <row r="37" spans="1:15">
      <c r="A37" s="1">
        <v>36</v>
      </c>
      <c r="B37" s="1" t="s">
        <v>132</v>
      </c>
      <c r="C37" s="1" t="s">
        <v>135</v>
      </c>
      <c r="D37" s="2">
        <v>26214</v>
      </c>
      <c r="E37" s="1" t="s">
        <v>26</v>
      </c>
      <c r="F37" s="1" t="s">
        <v>40</v>
      </c>
      <c r="G37" s="1" t="s">
        <v>19</v>
      </c>
      <c r="H37" s="1">
        <v>5</v>
      </c>
      <c r="I37" s="1" t="s">
        <v>45</v>
      </c>
      <c r="J37" s="2">
        <v>41300</v>
      </c>
      <c r="K37" s="1" t="s">
        <v>46</v>
      </c>
      <c r="L37" s="1" t="s">
        <v>47</v>
      </c>
      <c r="M37" s="3">
        <v>73750</v>
      </c>
      <c r="N37" s="23">
        <f t="shared" si="4"/>
        <v>10535.714285714286</v>
      </c>
      <c r="O37" s="22">
        <f t="shared" ca="1" si="5"/>
        <v>54</v>
      </c>
    </row>
    <row r="38" spans="1:15">
      <c r="A38" s="1">
        <v>37</v>
      </c>
      <c r="B38" s="1" t="s">
        <v>132</v>
      </c>
      <c r="C38" s="1" t="s">
        <v>29</v>
      </c>
      <c r="D38" s="2">
        <v>27997</v>
      </c>
      <c r="E38" s="1" t="s">
        <v>136</v>
      </c>
      <c r="F38" s="1" t="s">
        <v>36</v>
      </c>
      <c r="G38" s="1" t="s">
        <v>27</v>
      </c>
      <c r="H38" s="1">
        <v>2</v>
      </c>
      <c r="I38" s="1" t="s">
        <v>20</v>
      </c>
      <c r="J38" s="2">
        <v>41782</v>
      </c>
      <c r="K38" s="1" t="s">
        <v>21</v>
      </c>
      <c r="L38" s="1" t="s">
        <v>22</v>
      </c>
      <c r="M38" s="3">
        <v>113680</v>
      </c>
      <c r="N38" s="16">
        <f t="shared" ref="N34:N65" si="6">M38 / (H38 + 1)</f>
        <v>37893.333333333336</v>
      </c>
      <c r="O38" s="22">
        <f t="shared" ca="1" si="5"/>
        <v>49</v>
      </c>
    </row>
    <row r="39" spans="1:15">
      <c r="A39" s="1">
        <v>38</v>
      </c>
      <c r="B39" s="1" t="s">
        <v>137</v>
      </c>
      <c r="C39" s="1" t="s">
        <v>24</v>
      </c>
      <c r="D39" s="2">
        <v>28093</v>
      </c>
      <c r="E39" s="1" t="s">
        <v>138</v>
      </c>
      <c r="F39" s="1" t="s">
        <v>139</v>
      </c>
      <c r="G39" s="1" t="s">
        <v>19</v>
      </c>
      <c r="H39" s="1">
        <v>2</v>
      </c>
      <c r="I39" s="1" t="s">
        <v>20</v>
      </c>
      <c r="J39" s="2">
        <v>39370</v>
      </c>
      <c r="K39" s="1" t="s">
        <v>46</v>
      </c>
      <c r="L39" s="1" t="s">
        <v>47</v>
      </c>
      <c r="M39" s="3">
        <v>83500</v>
      </c>
      <c r="N39" s="23">
        <f t="shared" ref="N39:N48" si="7">M39 / (H39 + 2)</f>
        <v>20875</v>
      </c>
      <c r="O39" s="22">
        <f t="shared" ca="1" si="5"/>
        <v>49</v>
      </c>
    </row>
    <row r="40" spans="1:15">
      <c r="A40" s="1">
        <v>39</v>
      </c>
      <c r="B40" s="1" t="s">
        <v>140</v>
      </c>
      <c r="C40" s="1" t="s">
        <v>63</v>
      </c>
      <c r="D40" s="2">
        <v>27219</v>
      </c>
      <c r="E40" s="1" t="s">
        <v>25</v>
      </c>
      <c r="F40" s="1" t="s">
        <v>141</v>
      </c>
      <c r="G40" s="1" t="s">
        <v>19</v>
      </c>
      <c r="H40" s="1">
        <v>2</v>
      </c>
      <c r="I40" s="1" t="s">
        <v>142</v>
      </c>
      <c r="J40" s="2">
        <v>39685</v>
      </c>
      <c r="K40" s="1" t="s">
        <v>21</v>
      </c>
      <c r="L40" s="1" t="s">
        <v>22</v>
      </c>
      <c r="M40" s="3">
        <v>127900</v>
      </c>
      <c r="N40" s="23">
        <f t="shared" si="7"/>
        <v>31975</v>
      </c>
      <c r="O40" s="22">
        <f t="shared" ca="1" si="5"/>
        <v>51</v>
      </c>
    </row>
    <row r="41" spans="1:15">
      <c r="A41" s="1">
        <v>40</v>
      </c>
      <c r="B41" s="1" t="s">
        <v>143</v>
      </c>
      <c r="C41" s="1" t="s">
        <v>144</v>
      </c>
      <c r="D41" s="2">
        <v>26908</v>
      </c>
      <c r="E41" s="1" t="s">
        <v>145</v>
      </c>
      <c r="F41" s="1" t="s">
        <v>146</v>
      </c>
      <c r="G41" s="1" t="s">
        <v>19</v>
      </c>
      <c r="H41" s="1">
        <v>1</v>
      </c>
      <c r="I41" s="1" t="s">
        <v>20</v>
      </c>
      <c r="J41" s="2">
        <v>39313</v>
      </c>
      <c r="K41" s="1" t="s">
        <v>21</v>
      </c>
      <c r="L41" s="1" t="s">
        <v>22</v>
      </c>
      <c r="M41" s="3">
        <v>100420</v>
      </c>
      <c r="N41" s="23">
        <f t="shared" si="7"/>
        <v>33473.333333333336</v>
      </c>
      <c r="O41" s="22">
        <f t="shared" ca="1" si="5"/>
        <v>52</v>
      </c>
    </row>
    <row r="42" spans="1:15">
      <c r="A42" s="1">
        <v>41</v>
      </c>
      <c r="B42" s="1" t="s">
        <v>147</v>
      </c>
      <c r="C42" s="1" t="s">
        <v>148</v>
      </c>
      <c r="D42" s="2">
        <v>27894</v>
      </c>
      <c r="E42" s="1" t="s">
        <v>122</v>
      </c>
      <c r="F42" s="1" t="s">
        <v>36</v>
      </c>
      <c r="G42" s="1" t="s">
        <v>19</v>
      </c>
      <c r="H42" s="1">
        <v>1</v>
      </c>
      <c r="I42" s="1" t="s">
        <v>20</v>
      </c>
      <c r="J42" s="2">
        <v>41271</v>
      </c>
      <c r="K42" s="1" t="s">
        <v>149</v>
      </c>
      <c r="L42" s="1" t="s">
        <v>22</v>
      </c>
      <c r="M42" s="3">
        <v>58990</v>
      </c>
      <c r="N42" s="23">
        <f t="shared" si="7"/>
        <v>19663.333333333332</v>
      </c>
      <c r="O42" s="22">
        <f t="shared" ca="1" si="5"/>
        <v>49</v>
      </c>
    </row>
    <row r="43" spans="1:15">
      <c r="A43" s="1">
        <v>42</v>
      </c>
      <c r="B43" s="1" t="s">
        <v>147</v>
      </c>
      <c r="C43" s="1" t="s">
        <v>53</v>
      </c>
      <c r="D43" s="2">
        <v>21403</v>
      </c>
      <c r="E43" s="1" t="s">
        <v>150</v>
      </c>
      <c r="F43" s="1" t="s">
        <v>31</v>
      </c>
      <c r="G43" s="1" t="s">
        <v>19</v>
      </c>
      <c r="H43" s="1">
        <v>3</v>
      </c>
      <c r="I43" s="1" t="s">
        <v>20</v>
      </c>
      <c r="J43" s="2">
        <v>41356</v>
      </c>
      <c r="K43" s="1" t="s">
        <v>32</v>
      </c>
      <c r="L43" s="1" t="s">
        <v>78</v>
      </c>
      <c r="M43" s="3">
        <v>73720</v>
      </c>
      <c r="N43" s="23">
        <f t="shared" si="7"/>
        <v>14744</v>
      </c>
      <c r="O43" s="22">
        <f t="shared" ca="1" si="5"/>
        <v>67</v>
      </c>
    </row>
    <row r="44" spans="1:15">
      <c r="A44" s="1">
        <v>43</v>
      </c>
      <c r="B44" s="1" t="s">
        <v>151</v>
      </c>
      <c r="C44" s="1" t="s">
        <v>152</v>
      </c>
      <c r="D44" s="2">
        <v>29600</v>
      </c>
      <c r="E44" s="1" t="s">
        <v>25</v>
      </c>
      <c r="F44" s="1" t="s">
        <v>54</v>
      </c>
      <c r="G44" s="1" t="s">
        <v>19</v>
      </c>
      <c r="H44" s="1">
        <v>3</v>
      </c>
      <c r="I44" s="1" t="s">
        <v>45</v>
      </c>
      <c r="J44" s="2">
        <v>38834</v>
      </c>
      <c r="K44" s="1" t="s">
        <v>32</v>
      </c>
      <c r="L44" s="1" t="s">
        <v>33</v>
      </c>
      <c r="M44" s="3">
        <v>63130</v>
      </c>
      <c r="N44" s="23">
        <f t="shared" si="7"/>
        <v>12626</v>
      </c>
      <c r="O44" s="22">
        <f t="shared" ca="1" si="5"/>
        <v>45</v>
      </c>
    </row>
    <row r="45" spans="1:15">
      <c r="A45" s="1">
        <v>44</v>
      </c>
      <c r="B45" s="1" t="s">
        <v>153</v>
      </c>
      <c r="C45" s="1" t="s">
        <v>154</v>
      </c>
      <c r="D45" s="2">
        <v>28999</v>
      </c>
      <c r="E45" s="1" t="s">
        <v>155</v>
      </c>
      <c r="F45" s="1" t="s">
        <v>139</v>
      </c>
      <c r="G45" s="1" t="s">
        <v>19</v>
      </c>
      <c r="H45" s="1">
        <v>3</v>
      </c>
      <c r="I45" s="1" t="s">
        <v>20</v>
      </c>
      <c r="J45" s="2">
        <v>38808</v>
      </c>
      <c r="K45" s="1" t="s">
        <v>32</v>
      </c>
      <c r="L45" s="1" t="s">
        <v>55</v>
      </c>
      <c r="M45" s="3">
        <v>73720</v>
      </c>
      <c r="N45" s="23">
        <f t="shared" si="7"/>
        <v>14744</v>
      </c>
      <c r="O45" s="22">
        <f t="shared" ca="1" si="5"/>
        <v>46</v>
      </c>
    </row>
    <row r="46" spans="1:15">
      <c r="A46" s="1">
        <v>45</v>
      </c>
      <c r="B46" s="1" t="s">
        <v>156</v>
      </c>
      <c r="C46" s="1" t="s">
        <v>152</v>
      </c>
      <c r="D46" s="2">
        <v>27074</v>
      </c>
      <c r="E46" s="1" t="s">
        <v>157</v>
      </c>
      <c r="F46" s="1" t="s">
        <v>158</v>
      </c>
      <c r="G46" s="1" t="s">
        <v>19</v>
      </c>
      <c r="H46" s="1">
        <v>1</v>
      </c>
      <c r="I46" s="1" t="s">
        <v>37</v>
      </c>
      <c r="J46" s="2">
        <v>39538</v>
      </c>
      <c r="K46" s="1" t="s">
        <v>32</v>
      </c>
      <c r="L46" s="1" t="s">
        <v>33</v>
      </c>
      <c r="M46" s="3">
        <v>136000</v>
      </c>
      <c r="N46" s="23">
        <f t="shared" si="7"/>
        <v>45333.333333333336</v>
      </c>
      <c r="O46" s="22">
        <f t="shared" ca="1" si="5"/>
        <v>51</v>
      </c>
    </row>
    <row r="47" spans="1:15">
      <c r="A47" s="1">
        <v>46</v>
      </c>
      <c r="B47" s="1" t="s">
        <v>159</v>
      </c>
      <c r="C47" s="1" t="s">
        <v>160</v>
      </c>
      <c r="D47" s="2">
        <v>27795</v>
      </c>
      <c r="E47" s="1" t="s">
        <v>25</v>
      </c>
      <c r="F47" s="1" t="s">
        <v>54</v>
      </c>
      <c r="G47" s="1" t="s">
        <v>19</v>
      </c>
      <c r="H47" s="1">
        <v>1</v>
      </c>
      <c r="I47" s="1" t="s">
        <v>45</v>
      </c>
      <c r="J47" s="2">
        <v>38955</v>
      </c>
      <c r="K47" s="1" t="s">
        <v>32</v>
      </c>
      <c r="L47" s="1" t="s">
        <v>33</v>
      </c>
      <c r="M47" s="3">
        <v>103240</v>
      </c>
      <c r="N47" s="23">
        <f t="shared" si="7"/>
        <v>34413.333333333336</v>
      </c>
      <c r="O47" s="22">
        <f t="shared" ca="1" si="5"/>
        <v>49</v>
      </c>
    </row>
    <row r="48" spans="1:15">
      <c r="A48" s="1">
        <v>47</v>
      </c>
      <c r="B48" s="1" t="s">
        <v>159</v>
      </c>
      <c r="C48" s="1" t="s">
        <v>160</v>
      </c>
      <c r="D48" s="2">
        <v>30527</v>
      </c>
      <c r="E48" s="1" t="s">
        <v>161</v>
      </c>
      <c r="F48" s="1" t="s">
        <v>139</v>
      </c>
      <c r="G48" s="1" t="s">
        <v>19</v>
      </c>
      <c r="H48" s="1">
        <v>4</v>
      </c>
      <c r="I48" s="1" t="s">
        <v>45</v>
      </c>
      <c r="J48" s="2">
        <v>39657</v>
      </c>
      <c r="K48" s="1" t="s">
        <v>46</v>
      </c>
      <c r="L48" s="1" t="s">
        <v>47</v>
      </c>
      <c r="M48" s="3">
        <v>73750</v>
      </c>
      <c r="N48" s="23">
        <f t="shared" si="7"/>
        <v>12291.666666666666</v>
      </c>
      <c r="O48" s="22">
        <f t="shared" ca="1" si="5"/>
        <v>42</v>
      </c>
    </row>
    <row r="49" spans="1:15">
      <c r="A49" s="1">
        <v>48</v>
      </c>
      <c r="B49" s="1" t="s">
        <v>162</v>
      </c>
      <c r="C49" s="1" t="s">
        <v>154</v>
      </c>
      <c r="D49" s="2">
        <v>29219</v>
      </c>
      <c r="E49" s="1" t="s">
        <v>25</v>
      </c>
      <c r="F49" s="1" t="s">
        <v>163</v>
      </c>
      <c r="G49" s="1" t="s">
        <v>27</v>
      </c>
      <c r="H49" s="1">
        <v>2</v>
      </c>
      <c r="I49" s="1" t="s">
        <v>20</v>
      </c>
      <c r="J49" s="2">
        <v>38897</v>
      </c>
      <c r="K49" s="1" t="s">
        <v>21</v>
      </c>
      <c r="L49" s="1" t="s">
        <v>22</v>
      </c>
      <c r="M49" s="3">
        <v>113680</v>
      </c>
      <c r="N49" s="16">
        <f t="shared" si="6"/>
        <v>37893.333333333336</v>
      </c>
      <c r="O49" s="22">
        <f t="shared" ca="1" si="5"/>
        <v>46</v>
      </c>
    </row>
    <row r="50" spans="1:15">
      <c r="A50" s="1">
        <v>49</v>
      </c>
      <c r="B50" s="1" t="s">
        <v>164</v>
      </c>
      <c r="C50" s="1" t="s">
        <v>165</v>
      </c>
      <c r="D50" s="2">
        <v>33014</v>
      </c>
      <c r="E50" s="1" t="s">
        <v>166</v>
      </c>
      <c r="F50" s="1" t="s">
        <v>90</v>
      </c>
      <c r="G50" s="1" t="s">
        <v>19</v>
      </c>
      <c r="H50" s="1">
        <v>1</v>
      </c>
      <c r="I50" s="1" t="s">
        <v>45</v>
      </c>
      <c r="J50" s="2">
        <v>39602</v>
      </c>
      <c r="K50" s="1" t="s">
        <v>32</v>
      </c>
      <c r="L50" s="1" t="s">
        <v>33</v>
      </c>
      <c r="M50" s="3">
        <v>103240</v>
      </c>
      <c r="N50" s="23">
        <f t="shared" ref="N50:N52" si="8">M50 / (H50 + 2)</f>
        <v>34413.333333333336</v>
      </c>
      <c r="O50" s="22">
        <f t="shared" ca="1" si="5"/>
        <v>35</v>
      </c>
    </row>
    <row r="51" spans="1:15">
      <c r="A51" s="1">
        <v>50</v>
      </c>
      <c r="B51" s="1" t="s">
        <v>167</v>
      </c>
      <c r="C51" s="1" t="s">
        <v>154</v>
      </c>
      <c r="D51" s="2">
        <v>21524</v>
      </c>
      <c r="E51" s="1" t="s">
        <v>168</v>
      </c>
      <c r="F51" s="1" t="s">
        <v>31</v>
      </c>
      <c r="G51" s="1" t="s">
        <v>19</v>
      </c>
      <c r="H51" s="1">
        <v>3</v>
      </c>
      <c r="I51" s="1" t="s">
        <v>20</v>
      </c>
      <c r="J51" s="2">
        <v>39310</v>
      </c>
      <c r="K51" s="1" t="s">
        <v>68</v>
      </c>
      <c r="L51" s="1" t="s">
        <v>69</v>
      </c>
      <c r="M51" s="3">
        <v>66700</v>
      </c>
      <c r="N51" s="23">
        <f t="shared" si="8"/>
        <v>13340</v>
      </c>
      <c r="O51" s="22">
        <f t="shared" ca="1" si="5"/>
        <v>67</v>
      </c>
    </row>
    <row r="52" spans="1:15">
      <c r="A52" s="1">
        <v>51</v>
      </c>
      <c r="B52" s="1" t="s">
        <v>169</v>
      </c>
      <c r="C52" s="1" t="s">
        <v>170</v>
      </c>
      <c r="D52" s="2">
        <v>29468</v>
      </c>
      <c r="E52" s="1" t="s">
        <v>146</v>
      </c>
      <c r="F52" s="1" t="s">
        <v>90</v>
      </c>
      <c r="G52" s="1" t="s">
        <v>19</v>
      </c>
      <c r="H52" s="1">
        <v>0</v>
      </c>
      <c r="I52" s="1" t="s">
        <v>20</v>
      </c>
      <c r="J52" s="2">
        <v>40634</v>
      </c>
      <c r="K52" s="1" t="s">
        <v>21</v>
      </c>
      <c r="L52" s="1" t="s">
        <v>94</v>
      </c>
      <c r="M52" s="3">
        <v>86500</v>
      </c>
      <c r="N52" s="23">
        <f t="shared" si="8"/>
        <v>43250</v>
      </c>
      <c r="O52" s="22">
        <f t="shared" ca="1" si="5"/>
        <v>45</v>
      </c>
    </row>
    <row r="53" spans="1:15">
      <c r="A53" s="1">
        <v>52</v>
      </c>
      <c r="B53" s="1" t="s">
        <v>169</v>
      </c>
      <c r="C53" s="1" t="s">
        <v>171</v>
      </c>
      <c r="D53" s="2">
        <v>28385</v>
      </c>
      <c r="E53" s="1" t="s">
        <v>172</v>
      </c>
      <c r="F53" s="1" t="s">
        <v>40</v>
      </c>
      <c r="G53" s="1" t="s">
        <v>27</v>
      </c>
      <c r="H53" s="1">
        <v>2</v>
      </c>
      <c r="I53" s="1" t="s">
        <v>20</v>
      </c>
      <c r="J53" s="2">
        <v>40683</v>
      </c>
      <c r="K53" s="1" t="s">
        <v>46</v>
      </c>
      <c r="L53" s="1" t="s">
        <v>47</v>
      </c>
      <c r="M53" s="3">
        <v>83500</v>
      </c>
      <c r="N53" s="16">
        <f t="shared" si="6"/>
        <v>27833.333333333332</v>
      </c>
      <c r="O53" s="22">
        <f t="shared" ca="1" si="5"/>
        <v>48</v>
      </c>
    </row>
    <row r="54" spans="1:15">
      <c r="A54" s="1">
        <v>53</v>
      </c>
      <c r="B54" s="1" t="s">
        <v>173</v>
      </c>
      <c r="C54" s="1" t="s">
        <v>160</v>
      </c>
      <c r="D54" s="2">
        <v>29425</v>
      </c>
      <c r="E54" s="1" t="s">
        <v>150</v>
      </c>
      <c r="F54" s="1" t="s">
        <v>139</v>
      </c>
      <c r="G54" s="1" t="s">
        <v>19</v>
      </c>
      <c r="H54" s="1">
        <v>2</v>
      </c>
      <c r="I54" s="1" t="s">
        <v>45</v>
      </c>
      <c r="J54" s="2">
        <v>40105</v>
      </c>
      <c r="K54" s="1" t="s">
        <v>46</v>
      </c>
      <c r="L54" s="1" t="s">
        <v>174</v>
      </c>
      <c r="M54" s="3">
        <v>92650</v>
      </c>
      <c r="N54" s="23">
        <f t="shared" ref="N54:N63" si="9">M54 / (H54 + 2)</f>
        <v>23162.5</v>
      </c>
      <c r="O54" s="22">
        <f t="shared" ca="1" si="5"/>
        <v>45</v>
      </c>
    </row>
    <row r="55" spans="1:15">
      <c r="A55" s="1">
        <v>54</v>
      </c>
      <c r="B55" s="1" t="s">
        <v>175</v>
      </c>
      <c r="C55" s="1" t="s">
        <v>96</v>
      </c>
      <c r="D55" s="2">
        <v>36085</v>
      </c>
      <c r="E55" s="1" t="s">
        <v>176</v>
      </c>
      <c r="F55" s="1" t="s">
        <v>122</v>
      </c>
      <c r="G55" s="1" t="s">
        <v>19</v>
      </c>
      <c r="H55" s="1">
        <v>1</v>
      </c>
      <c r="I55" s="1" t="s">
        <v>37</v>
      </c>
      <c r="J55" s="2">
        <v>39599</v>
      </c>
      <c r="K55" s="1" t="s">
        <v>21</v>
      </c>
      <c r="L55" s="1" t="s">
        <v>94</v>
      </c>
      <c r="M55" s="3">
        <v>73000</v>
      </c>
      <c r="N55" s="23">
        <f t="shared" si="9"/>
        <v>24333.333333333332</v>
      </c>
      <c r="O55" s="22">
        <f t="shared" ca="1" si="5"/>
        <v>27</v>
      </c>
    </row>
    <row r="56" spans="1:15">
      <c r="A56" s="1">
        <v>55</v>
      </c>
      <c r="B56" s="1" t="s">
        <v>177</v>
      </c>
      <c r="C56" s="1" t="s">
        <v>101</v>
      </c>
      <c r="D56" s="2">
        <v>27255</v>
      </c>
      <c r="E56" s="1" t="s">
        <v>178</v>
      </c>
      <c r="F56" s="1" t="s">
        <v>18</v>
      </c>
      <c r="G56" s="1" t="s">
        <v>19</v>
      </c>
      <c r="H56" s="1">
        <v>2</v>
      </c>
      <c r="I56" s="1" t="s">
        <v>59</v>
      </c>
      <c r="J56" s="2">
        <v>39399</v>
      </c>
      <c r="K56" s="1" t="s">
        <v>32</v>
      </c>
      <c r="L56" s="1" t="s">
        <v>55</v>
      </c>
      <c r="M56" s="3">
        <v>75400</v>
      </c>
      <c r="N56" s="23">
        <f t="shared" si="9"/>
        <v>18850</v>
      </c>
      <c r="O56" s="22">
        <f t="shared" ca="1" si="5"/>
        <v>51</v>
      </c>
    </row>
    <row r="57" spans="1:15">
      <c r="A57" s="1">
        <v>56</v>
      </c>
      <c r="B57" s="1" t="s">
        <v>177</v>
      </c>
      <c r="C57" s="1" t="s">
        <v>101</v>
      </c>
      <c r="D57" s="2">
        <v>26903</v>
      </c>
      <c r="E57" s="1" t="s">
        <v>176</v>
      </c>
      <c r="F57" s="1" t="s">
        <v>18</v>
      </c>
      <c r="G57" s="1" t="s">
        <v>19</v>
      </c>
      <c r="H57" s="1">
        <v>3</v>
      </c>
      <c r="I57" s="1" t="s">
        <v>37</v>
      </c>
      <c r="J57" s="2">
        <v>39587</v>
      </c>
      <c r="K57" s="1" t="s">
        <v>32</v>
      </c>
      <c r="L57" s="1" t="s">
        <v>38</v>
      </c>
      <c r="M57" s="3">
        <v>186556</v>
      </c>
      <c r="N57" s="23">
        <f t="shared" si="9"/>
        <v>37311.199999999997</v>
      </c>
      <c r="O57" s="22">
        <f t="shared" ca="1" si="5"/>
        <v>52</v>
      </c>
    </row>
    <row r="58" spans="1:15">
      <c r="A58" s="1">
        <v>57</v>
      </c>
      <c r="B58" s="1" t="s">
        <v>179</v>
      </c>
      <c r="C58" s="1" t="s">
        <v>180</v>
      </c>
      <c r="D58" s="2">
        <v>26623</v>
      </c>
      <c r="E58" s="1" t="s">
        <v>181</v>
      </c>
      <c r="F58" s="1" t="s">
        <v>54</v>
      </c>
      <c r="G58" s="1" t="s">
        <v>19</v>
      </c>
      <c r="H58" s="1">
        <v>2</v>
      </c>
      <c r="I58" s="1" t="s">
        <v>45</v>
      </c>
      <c r="J58" s="2">
        <v>40050</v>
      </c>
      <c r="K58" s="1" t="s">
        <v>32</v>
      </c>
      <c r="L58" s="1" t="s">
        <v>33</v>
      </c>
      <c r="M58" s="3">
        <v>94720</v>
      </c>
      <c r="N58" s="23">
        <f t="shared" si="9"/>
        <v>23680</v>
      </c>
      <c r="O58" s="22">
        <f t="shared" ca="1" si="5"/>
        <v>53</v>
      </c>
    </row>
    <row r="59" spans="1:15">
      <c r="A59" s="1">
        <v>58</v>
      </c>
      <c r="B59" s="1" t="s">
        <v>182</v>
      </c>
      <c r="C59" s="1" t="s">
        <v>183</v>
      </c>
      <c r="D59" s="2">
        <v>34857</v>
      </c>
      <c r="E59" s="1" t="s">
        <v>86</v>
      </c>
      <c r="F59" s="1" t="s">
        <v>18</v>
      </c>
      <c r="G59" s="1" t="s">
        <v>19</v>
      </c>
      <c r="H59" s="1">
        <v>1</v>
      </c>
      <c r="I59" s="1" t="s">
        <v>45</v>
      </c>
      <c r="J59" s="2">
        <v>39813</v>
      </c>
      <c r="K59" s="1" t="s">
        <v>68</v>
      </c>
      <c r="L59" s="1" t="s">
        <v>69</v>
      </c>
      <c r="M59" s="3">
        <v>154780</v>
      </c>
      <c r="N59" s="23">
        <f t="shared" si="9"/>
        <v>51593.333333333336</v>
      </c>
      <c r="O59" s="22">
        <f t="shared" ca="1" si="5"/>
        <v>30</v>
      </c>
    </row>
    <row r="60" spans="1:15">
      <c r="A60" s="1">
        <v>59</v>
      </c>
      <c r="B60" s="1" t="s">
        <v>184</v>
      </c>
      <c r="C60" s="1" t="s">
        <v>24</v>
      </c>
      <c r="D60" s="2">
        <v>28713</v>
      </c>
      <c r="E60" s="1" t="s">
        <v>185</v>
      </c>
      <c r="F60" s="1" t="s">
        <v>54</v>
      </c>
      <c r="G60" s="1" t="s">
        <v>19</v>
      </c>
      <c r="H60" s="1">
        <v>3</v>
      </c>
      <c r="I60" s="1" t="s">
        <v>37</v>
      </c>
      <c r="J60" s="2">
        <v>39890</v>
      </c>
      <c r="K60" s="1" t="s">
        <v>32</v>
      </c>
      <c r="L60" s="1" t="s">
        <v>33</v>
      </c>
      <c r="M60" s="3">
        <v>83074</v>
      </c>
      <c r="N60" s="23">
        <f t="shared" si="9"/>
        <v>16614.8</v>
      </c>
      <c r="O60" s="22">
        <f t="shared" ca="1" si="5"/>
        <v>47</v>
      </c>
    </row>
    <row r="61" spans="1:15">
      <c r="A61" s="1">
        <v>60</v>
      </c>
      <c r="B61" s="1" t="s">
        <v>186</v>
      </c>
      <c r="C61" s="1" t="s">
        <v>187</v>
      </c>
      <c r="D61" s="2">
        <v>36085</v>
      </c>
      <c r="E61" s="1" t="s">
        <v>35</v>
      </c>
      <c r="F61" s="1" t="s">
        <v>54</v>
      </c>
      <c r="G61" s="1" t="s">
        <v>19</v>
      </c>
      <c r="H61" s="1">
        <v>3</v>
      </c>
      <c r="I61" s="1" t="s">
        <v>45</v>
      </c>
      <c r="J61" s="2">
        <v>39575</v>
      </c>
      <c r="K61" s="1" t="s">
        <v>32</v>
      </c>
      <c r="L61" s="1" t="s">
        <v>55</v>
      </c>
      <c r="M61" s="3">
        <v>63130</v>
      </c>
      <c r="N61" s="23">
        <f t="shared" si="9"/>
        <v>12626</v>
      </c>
      <c r="O61" s="22">
        <f t="shared" ca="1" si="5"/>
        <v>27</v>
      </c>
    </row>
    <row r="62" spans="1:15">
      <c r="A62" s="1">
        <v>61</v>
      </c>
      <c r="B62" s="1" t="s">
        <v>188</v>
      </c>
      <c r="C62" s="1" t="s">
        <v>66</v>
      </c>
      <c r="D62" s="2">
        <v>27841</v>
      </c>
      <c r="E62" s="1" t="s">
        <v>25</v>
      </c>
      <c r="F62" s="1" t="s">
        <v>54</v>
      </c>
      <c r="G62" s="1" t="s">
        <v>19</v>
      </c>
      <c r="H62" s="1">
        <v>3</v>
      </c>
      <c r="I62" s="1" t="s">
        <v>59</v>
      </c>
      <c r="J62" s="2">
        <v>39321</v>
      </c>
      <c r="K62" s="1" t="s">
        <v>32</v>
      </c>
      <c r="L62" s="1" t="s">
        <v>33</v>
      </c>
      <c r="M62" s="3">
        <v>94729</v>
      </c>
      <c r="N62" s="23">
        <f t="shared" si="9"/>
        <v>18945.8</v>
      </c>
      <c r="O62" s="22">
        <f t="shared" ca="1" si="5"/>
        <v>49</v>
      </c>
    </row>
    <row r="63" spans="1:15">
      <c r="A63" s="1">
        <v>62</v>
      </c>
      <c r="B63" s="1" t="s">
        <v>189</v>
      </c>
      <c r="C63" s="1" t="s">
        <v>80</v>
      </c>
      <c r="D63" s="2">
        <v>21104</v>
      </c>
      <c r="E63" s="1" t="s">
        <v>30</v>
      </c>
      <c r="F63" s="1" t="s">
        <v>139</v>
      </c>
      <c r="G63" s="1" t="s">
        <v>19</v>
      </c>
      <c r="H63" s="1">
        <v>3</v>
      </c>
      <c r="I63" s="1" t="s">
        <v>20</v>
      </c>
      <c r="J63" s="2">
        <v>39701</v>
      </c>
      <c r="K63" s="1" t="s">
        <v>46</v>
      </c>
      <c r="L63" s="1" t="s">
        <v>47</v>
      </c>
      <c r="M63" s="3">
        <v>97690</v>
      </c>
      <c r="N63" s="23">
        <f t="shared" si="9"/>
        <v>19538</v>
      </c>
      <c r="O63" s="22">
        <f t="shared" ca="1" si="5"/>
        <v>68</v>
      </c>
    </row>
    <row r="64" spans="1:15">
      <c r="A64" s="1">
        <v>63</v>
      </c>
      <c r="B64" s="1" t="s">
        <v>190</v>
      </c>
      <c r="C64" s="1" t="s">
        <v>191</v>
      </c>
      <c r="D64" s="2">
        <v>34169</v>
      </c>
      <c r="E64" s="1" t="s">
        <v>192</v>
      </c>
      <c r="F64" s="1" t="s">
        <v>54</v>
      </c>
      <c r="G64" s="1" t="s">
        <v>27</v>
      </c>
      <c r="H64" s="1">
        <v>1</v>
      </c>
      <c r="I64" s="1" t="s">
        <v>37</v>
      </c>
      <c r="J64" s="2">
        <v>39685</v>
      </c>
      <c r="K64" s="1" t="s">
        <v>21</v>
      </c>
      <c r="L64" s="1" t="s">
        <v>22</v>
      </c>
      <c r="M64" s="3">
        <v>51940</v>
      </c>
      <c r="N64" s="16">
        <f t="shared" si="6"/>
        <v>25970</v>
      </c>
      <c r="O64" s="22">
        <f t="shared" ca="1" si="5"/>
        <v>32</v>
      </c>
    </row>
    <row r="65" spans="1:15">
      <c r="A65" s="1">
        <v>64</v>
      </c>
      <c r="B65" s="1" t="s">
        <v>193</v>
      </c>
      <c r="C65" s="1" t="s">
        <v>194</v>
      </c>
      <c r="D65" s="2">
        <v>35933</v>
      </c>
      <c r="E65" s="1" t="s">
        <v>195</v>
      </c>
      <c r="F65" s="1" t="s">
        <v>90</v>
      </c>
      <c r="G65" s="1" t="s">
        <v>19</v>
      </c>
      <c r="H65" s="1">
        <v>3</v>
      </c>
      <c r="I65" s="1" t="s">
        <v>20</v>
      </c>
      <c r="J65" s="2">
        <v>39247</v>
      </c>
      <c r="K65" s="1" t="s">
        <v>32</v>
      </c>
      <c r="L65" s="1" t="s">
        <v>33</v>
      </c>
      <c r="M65" s="3">
        <v>56995</v>
      </c>
      <c r="N65" s="23">
        <f t="shared" ref="N65:N76" si="10">M65 / (H65 + 2)</f>
        <v>11399</v>
      </c>
      <c r="O65" s="22">
        <f t="shared" ca="1" si="5"/>
        <v>27</v>
      </c>
    </row>
    <row r="66" spans="1:15">
      <c r="A66" s="1">
        <v>65</v>
      </c>
      <c r="B66" s="1" t="s">
        <v>196</v>
      </c>
      <c r="C66" s="1" t="s">
        <v>101</v>
      </c>
      <c r="D66" s="2">
        <v>26898</v>
      </c>
      <c r="E66" s="1" t="s">
        <v>25</v>
      </c>
      <c r="F66" s="1" t="s">
        <v>18</v>
      </c>
      <c r="G66" s="1" t="s">
        <v>19</v>
      </c>
      <c r="H66" s="1">
        <v>5</v>
      </c>
      <c r="I66" s="1" t="s">
        <v>81</v>
      </c>
      <c r="J66" s="2">
        <v>38795</v>
      </c>
      <c r="K66" s="1" t="s">
        <v>32</v>
      </c>
      <c r="L66" s="1" t="s">
        <v>55</v>
      </c>
      <c r="M66" s="3">
        <v>62920</v>
      </c>
      <c r="N66" s="23">
        <f t="shared" si="10"/>
        <v>8988.5714285714294</v>
      </c>
      <c r="O66" s="22">
        <f t="shared" ref="O66:O97" ca="1" si="11">DATEDIF(D66,TODAY(),"Y")</f>
        <v>52</v>
      </c>
    </row>
    <row r="67" spans="1:15">
      <c r="A67" s="1">
        <v>66</v>
      </c>
      <c r="B67" s="1" t="s">
        <v>197</v>
      </c>
      <c r="C67" s="1" t="s">
        <v>198</v>
      </c>
      <c r="D67" s="2">
        <v>28884</v>
      </c>
      <c r="E67" s="1" t="s">
        <v>199</v>
      </c>
      <c r="F67" s="1" t="s">
        <v>18</v>
      </c>
      <c r="G67" s="1" t="s">
        <v>19</v>
      </c>
      <c r="H67" s="1">
        <v>3</v>
      </c>
      <c r="I67" s="1" t="s">
        <v>59</v>
      </c>
      <c r="J67" s="2">
        <v>39532</v>
      </c>
      <c r="K67" s="1" t="s">
        <v>21</v>
      </c>
      <c r="L67" s="1" t="s">
        <v>22</v>
      </c>
      <c r="M67" s="3">
        <v>124822</v>
      </c>
      <c r="N67" s="23">
        <f t="shared" si="10"/>
        <v>24964.400000000001</v>
      </c>
      <c r="O67" s="22">
        <f t="shared" ca="1" si="11"/>
        <v>46</v>
      </c>
    </row>
    <row r="68" spans="1:15">
      <c r="A68" s="1">
        <v>67</v>
      </c>
      <c r="B68" s="1" t="s">
        <v>200</v>
      </c>
      <c r="C68" s="1" t="s">
        <v>201</v>
      </c>
      <c r="D68" s="2">
        <v>27626</v>
      </c>
      <c r="E68" s="1" t="s">
        <v>26</v>
      </c>
      <c r="F68" s="1" t="s">
        <v>40</v>
      </c>
      <c r="G68" s="1" t="s">
        <v>19</v>
      </c>
      <c r="H68" s="1">
        <v>3</v>
      </c>
      <c r="I68" s="1" t="s">
        <v>81</v>
      </c>
      <c r="J68" s="2">
        <v>41533</v>
      </c>
      <c r="K68" s="1" t="s">
        <v>32</v>
      </c>
      <c r="L68" s="1" t="s">
        <v>33</v>
      </c>
      <c r="M68" s="3">
        <v>62920</v>
      </c>
      <c r="N68" s="23">
        <f t="shared" si="10"/>
        <v>12584</v>
      </c>
      <c r="O68" s="22">
        <f t="shared" ca="1" si="11"/>
        <v>50</v>
      </c>
    </row>
    <row r="69" spans="1:15">
      <c r="A69" s="1">
        <v>68</v>
      </c>
      <c r="B69" s="1" t="s">
        <v>202</v>
      </c>
      <c r="C69" s="1" t="s">
        <v>160</v>
      </c>
      <c r="D69" s="2">
        <v>28289</v>
      </c>
      <c r="E69" s="1" t="s">
        <v>203</v>
      </c>
      <c r="F69" s="1" t="s">
        <v>18</v>
      </c>
      <c r="G69" s="1" t="s">
        <v>19</v>
      </c>
      <c r="H69" s="1">
        <v>1</v>
      </c>
      <c r="I69" s="1" t="s">
        <v>45</v>
      </c>
      <c r="J69" s="2">
        <v>39510</v>
      </c>
      <c r="K69" s="1" t="s">
        <v>149</v>
      </c>
      <c r="L69" s="1" t="s">
        <v>22</v>
      </c>
      <c r="M69" s="3">
        <v>148864</v>
      </c>
      <c r="N69" s="23">
        <f t="shared" si="10"/>
        <v>49621.333333333336</v>
      </c>
      <c r="O69" s="22">
        <f t="shared" ca="1" si="11"/>
        <v>48</v>
      </c>
    </row>
    <row r="70" spans="1:15">
      <c r="A70" s="1">
        <v>69</v>
      </c>
      <c r="B70" s="1" t="s">
        <v>202</v>
      </c>
      <c r="C70" s="1" t="s">
        <v>204</v>
      </c>
      <c r="D70" s="2">
        <v>35612</v>
      </c>
      <c r="E70" s="1" t="s">
        <v>205</v>
      </c>
      <c r="F70" s="1" t="s">
        <v>139</v>
      </c>
      <c r="G70" s="1" t="s">
        <v>19</v>
      </c>
      <c r="H70" s="1">
        <v>3</v>
      </c>
      <c r="I70" s="1" t="s">
        <v>20</v>
      </c>
      <c r="J70" s="2">
        <v>39737</v>
      </c>
      <c r="K70" s="1" t="s">
        <v>46</v>
      </c>
      <c r="L70" s="1" t="s">
        <v>47</v>
      </c>
      <c r="M70" s="3">
        <v>76018</v>
      </c>
      <c r="N70" s="23">
        <f t="shared" si="10"/>
        <v>15203.6</v>
      </c>
      <c r="O70" s="22">
        <f t="shared" ca="1" si="11"/>
        <v>28</v>
      </c>
    </row>
    <row r="71" spans="1:15">
      <c r="A71" s="1">
        <v>70</v>
      </c>
      <c r="B71" s="1" t="s">
        <v>206</v>
      </c>
      <c r="C71" s="1" t="s">
        <v>207</v>
      </c>
      <c r="D71" s="2">
        <v>29639</v>
      </c>
      <c r="E71" s="1" t="s">
        <v>208</v>
      </c>
      <c r="F71" s="1" t="s">
        <v>40</v>
      </c>
      <c r="G71" s="1" t="s">
        <v>19</v>
      </c>
      <c r="H71" s="1">
        <v>1</v>
      </c>
      <c r="I71" s="1" t="s">
        <v>20</v>
      </c>
      <c r="J71" s="2">
        <v>41577</v>
      </c>
      <c r="K71" s="1" t="s">
        <v>32</v>
      </c>
      <c r="L71" s="1" t="s">
        <v>33</v>
      </c>
      <c r="M71" s="3">
        <v>120250</v>
      </c>
      <c r="N71" s="23">
        <f t="shared" si="10"/>
        <v>40083.333333333336</v>
      </c>
      <c r="O71" s="22">
        <f t="shared" ca="1" si="11"/>
        <v>44</v>
      </c>
    </row>
    <row r="72" spans="1:15">
      <c r="A72" s="1">
        <v>71</v>
      </c>
      <c r="B72" s="1" t="s">
        <v>209</v>
      </c>
      <c r="C72" s="1" t="s">
        <v>24</v>
      </c>
      <c r="D72" s="2">
        <v>30036</v>
      </c>
      <c r="E72" s="1" t="s">
        <v>163</v>
      </c>
      <c r="F72" s="1" t="s">
        <v>122</v>
      </c>
      <c r="G72" s="1" t="s">
        <v>19</v>
      </c>
      <c r="H72" s="1">
        <v>0</v>
      </c>
      <c r="I72" s="1" t="s">
        <v>20</v>
      </c>
      <c r="J72" s="2">
        <v>39452</v>
      </c>
      <c r="K72" s="1" t="s">
        <v>21</v>
      </c>
      <c r="L72" s="1" t="s">
        <v>94</v>
      </c>
      <c r="M72" s="3">
        <v>86500</v>
      </c>
      <c r="N72" s="23">
        <f t="shared" si="10"/>
        <v>43250</v>
      </c>
      <c r="O72" s="22">
        <f t="shared" ca="1" si="11"/>
        <v>43</v>
      </c>
    </row>
    <row r="73" spans="1:15">
      <c r="A73" s="1">
        <v>72</v>
      </c>
      <c r="B73" s="1" t="s">
        <v>210</v>
      </c>
      <c r="C73" s="1" t="s">
        <v>24</v>
      </c>
      <c r="D73" s="2">
        <v>27904</v>
      </c>
      <c r="E73" s="1" t="s">
        <v>25</v>
      </c>
      <c r="F73" s="1" t="s">
        <v>54</v>
      </c>
      <c r="G73" s="1" t="s">
        <v>19</v>
      </c>
      <c r="H73" s="1">
        <v>1</v>
      </c>
      <c r="I73" s="1" t="s">
        <v>20</v>
      </c>
      <c r="J73" s="2">
        <v>39826</v>
      </c>
      <c r="K73" s="1" t="s">
        <v>32</v>
      </c>
      <c r="L73" s="1" t="s">
        <v>33</v>
      </c>
      <c r="M73" s="3">
        <v>108976</v>
      </c>
      <c r="N73" s="23">
        <f t="shared" si="10"/>
        <v>36325.333333333336</v>
      </c>
      <c r="O73" s="22">
        <f t="shared" ca="1" si="11"/>
        <v>49</v>
      </c>
    </row>
    <row r="74" spans="1:15">
      <c r="A74" s="1">
        <v>73</v>
      </c>
      <c r="B74" s="1" t="s">
        <v>211</v>
      </c>
      <c r="C74" s="1" t="s">
        <v>144</v>
      </c>
      <c r="D74" s="2">
        <v>27068</v>
      </c>
      <c r="E74" s="1" t="s">
        <v>40</v>
      </c>
      <c r="F74" s="1" t="s">
        <v>40</v>
      </c>
      <c r="G74" s="1" t="s">
        <v>19</v>
      </c>
      <c r="H74" s="1">
        <v>0</v>
      </c>
      <c r="I74" s="1" t="s">
        <v>20</v>
      </c>
      <c r="J74" s="2">
        <v>41238</v>
      </c>
      <c r="K74" s="1" t="s">
        <v>46</v>
      </c>
      <c r="L74" s="1" t="s">
        <v>174</v>
      </c>
      <c r="M74" s="3">
        <v>88726</v>
      </c>
      <c r="N74" s="23">
        <f t="shared" si="10"/>
        <v>44363</v>
      </c>
      <c r="O74" s="22">
        <f t="shared" ca="1" si="11"/>
        <v>51</v>
      </c>
    </row>
    <row r="75" spans="1:15">
      <c r="A75" s="1">
        <v>74</v>
      </c>
      <c r="B75" s="1" t="s">
        <v>212</v>
      </c>
      <c r="C75" s="1" t="s">
        <v>63</v>
      </c>
      <c r="D75" s="2">
        <v>27137</v>
      </c>
      <c r="E75" s="1" t="s">
        <v>213</v>
      </c>
      <c r="F75" s="1" t="s">
        <v>122</v>
      </c>
      <c r="G75" s="1" t="s">
        <v>19</v>
      </c>
      <c r="H75" s="1">
        <v>1</v>
      </c>
      <c r="I75" s="1" t="s">
        <v>37</v>
      </c>
      <c r="J75" s="2">
        <v>39432</v>
      </c>
      <c r="K75" s="1" t="s">
        <v>87</v>
      </c>
      <c r="L75" s="1" t="s">
        <v>88</v>
      </c>
      <c r="M75" s="3">
        <v>120100</v>
      </c>
      <c r="N75" s="23">
        <f t="shared" si="10"/>
        <v>40033.333333333336</v>
      </c>
      <c r="O75" s="22">
        <f t="shared" ca="1" si="11"/>
        <v>51</v>
      </c>
    </row>
    <row r="76" spans="1:15">
      <c r="A76" s="1">
        <v>75</v>
      </c>
      <c r="B76" s="1" t="s">
        <v>214</v>
      </c>
      <c r="C76" s="1" t="s">
        <v>198</v>
      </c>
      <c r="D76" s="2">
        <v>26822</v>
      </c>
      <c r="E76" s="1" t="s">
        <v>58</v>
      </c>
      <c r="F76" s="1" t="s">
        <v>139</v>
      </c>
      <c r="G76" s="1" t="s">
        <v>19</v>
      </c>
      <c r="H76" s="1">
        <v>1</v>
      </c>
      <c r="I76" s="1" t="s">
        <v>20</v>
      </c>
      <c r="J76" s="2">
        <v>39736</v>
      </c>
      <c r="K76" s="1" t="s">
        <v>46</v>
      </c>
      <c r="L76" s="1" t="s">
        <v>47</v>
      </c>
      <c r="M76" s="3">
        <v>116440</v>
      </c>
      <c r="N76" s="23">
        <f t="shared" si="10"/>
        <v>38813.333333333336</v>
      </c>
      <c r="O76" s="22">
        <f t="shared" ca="1" si="11"/>
        <v>52</v>
      </c>
    </row>
    <row r="77" spans="1:15">
      <c r="A77" s="1">
        <v>76</v>
      </c>
      <c r="B77" s="1" t="s">
        <v>215</v>
      </c>
      <c r="C77" s="1" t="s">
        <v>110</v>
      </c>
      <c r="D77" s="2">
        <v>28590</v>
      </c>
      <c r="E77" s="1" t="s">
        <v>25</v>
      </c>
      <c r="F77" s="1" t="s">
        <v>26</v>
      </c>
      <c r="G77" s="1" t="s">
        <v>27</v>
      </c>
      <c r="H77" s="1">
        <v>2</v>
      </c>
      <c r="I77" s="1" t="s">
        <v>81</v>
      </c>
      <c r="J77" s="2">
        <v>39464</v>
      </c>
      <c r="K77" s="1" t="s">
        <v>21</v>
      </c>
      <c r="L77" s="1" t="s">
        <v>22</v>
      </c>
      <c r="M77" s="3">
        <v>70726</v>
      </c>
      <c r="N77" s="16">
        <f t="shared" ref="N66:N97" si="12">M77 / (H77 + 1)</f>
        <v>23575.333333333332</v>
      </c>
      <c r="O77" s="22">
        <f t="shared" ca="1" si="11"/>
        <v>47</v>
      </c>
    </row>
    <row r="78" spans="1:15">
      <c r="A78" s="1">
        <v>77</v>
      </c>
      <c r="B78" s="1" t="s">
        <v>216</v>
      </c>
      <c r="C78" s="1" t="s">
        <v>217</v>
      </c>
      <c r="D78" s="2">
        <v>28698</v>
      </c>
      <c r="E78" s="1" t="s">
        <v>218</v>
      </c>
      <c r="F78" s="1" t="s">
        <v>40</v>
      </c>
      <c r="G78" s="1" t="s">
        <v>19</v>
      </c>
      <c r="H78" s="1">
        <v>3</v>
      </c>
      <c r="I78" s="1" t="s">
        <v>20</v>
      </c>
      <c r="J78" s="2">
        <v>41803</v>
      </c>
      <c r="K78" s="1" t="s">
        <v>46</v>
      </c>
      <c r="L78" s="1" t="s">
        <v>47</v>
      </c>
      <c r="M78" s="3">
        <v>76018</v>
      </c>
      <c r="N78" s="23">
        <f t="shared" ref="N78:N87" si="13">M78 / (H78 + 2)</f>
        <v>15203.6</v>
      </c>
      <c r="O78" s="22">
        <f t="shared" ca="1" si="11"/>
        <v>47</v>
      </c>
    </row>
    <row r="79" spans="1:15">
      <c r="A79" s="1">
        <v>78</v>
      </c>
      <c r="B79" s="1" t="s">
        <v>216</v>
      </c>
      <c r="C79" s="1" t="s">
        <v>170</v>
      </c>
      <c r="D79" s="2">
        <v>29042</v>
      </c>
      <c r="E79" s="1" t="s">
        <v>35</v>
      </c>
      <c r="F79" s="1" t="s">
        <v>36</v>
      </c>
      <c r="G79" s="1" t="s">
        <v>19</v>
      </c>
      <c r="H79" s="1">
        <v>1</v>
      </c>
      <c r="I79" s="1" t="s">
        <v>219</v>
      </c>
      <c r="J79" s="2">
        <v>41873</v>
      </c>
      <c r="K79" s="1" t="s">
        <v>21</v>
      </c>
      <c r="L79" s="1" t="s">
        <v>22</v>
      </c>
      <c r="M79" s="3">
        <v>66760</v>
      </c>
      <c r="N79" s="23">
        <f t="shared" si="13"/>
        <v>22253.333333333332</v>
      </c>
      <c r="O79" s="22">
        <f t="shared" ca="1" si="11"/>
        <v>46</v>
      </c>
    </row>
    <row r="80" spans="1:15">
      <c r="A80" s="1">
        <v>79</v>
      </c>
      <c r="B80" s="1" t="s">
        <v>220</v>
      </c>
      <c r="C80" s="1" t="s">
        <v>221</v>
      </c>
      <c r="D80" s="2">
        <v>36058</v>
      </c>
      <c r="E80" s="1" t="s">
        <v>26</v>
      </c>
      <c r="F80" s="1" t="s">
        <v>40</v>
      </c>
      <c r="G80" s="1" t="s">
        <v>19</v>
      </c>
      <c r="H80" s="1">
        <v>1</v>
      </c>
      <c r="I80" s="1" t="s">
        <v>20</v>
      </c>
      <c r="J80" s="2">
        <v>39769</v>
      </c>
      <c r="K80" s="1" t="s">
        <v>46</v>
      </c>
      <c r="L80" s="1" t="s">
        <v>47</v>
      </c>
      <c r="M80" s="3">
        <v>116440</v>
      </c>
      <c r="N80" s="23">
        <f t="shared" si="13"/>
        <v>38813.333333333336</v>
      </c>
      <c r="O80" s="22">
        <f t="shared" ca="1" si="11"/>
        <v>27</v>
      </c>
    </row>
    <row r="81" spans="1:15">
      <c r="A81" s="1">
        <v>80</v>
      </c>
      <c r="B81" s="1" t="s">
        <v>222</v>
      </c>
      <c r="C81" s="1" t="s">
        <v>73</v>
      </c>
      <c r="D81" s="2">
        <v>26289</v>
      </c>
      <c r="E81" s="1" t="s">
        <v>223</v>
      </c>
      <c r="F81" s="1" t="s">
        <v>36</v>
      </c>
      <c r="G81" s="1" t="s">
        <v>19</v>
      </c>
      <c r="H81" s="1">
        <v>1</v>
      </c>
      <c r="I81" s="1" t="s">
        <v>37</v>
      </c>
      <c r="J81" s="2">
        <v>41427</v>
      </c>
      <c r="K81" s="1" t="s">
        <v>21</v>
      </c>
      <c r="L81" s="1" t="s">
        <v>22</v>
      </c>
      <c r="M81" s="3">
        <v>53254</v>
      </c>
      <c r="N81" s="23">
        <f t="shared" si="13"/>
        <v>17751.333333333332</v>
      </c>
      <c r="O81" s="22">
        <f t="shared" ca="1" si="11"/>
        <v>54</v>
      </c>
    </row>
    <row r="82" spans="1:15">
      <c r="A82" s="1">
        <v>81</v>
      </c>
      <c r="B82" s="1" t="s">
        <v>224</v>
      </c>
      <c r="C82" s="1" t="s">
        <v>225</v>
      </c>
      <c r="D82" s="2">
        <v>32157</v>
      </c>
      <c r="E82" s="1" t="s">
        <v>150</v>
      </c>
      <c r="F82" s="1" t="s">
        <v>18</v>
      </c>
      <c r="G82" s="1" t="s">
        <v>19</v>
      </c>
      <c r="H82" s="1">
        <v>1</v>
      </c>
      <c r="I82" s="1" t="s">
        <v>45</v>
      </c>
      <c r="J82" s="2">
        <v>38814</v>
      </c>
      <c r="K82" s="1" t="s">
        <v>32</v>
      </c>
      <c r="L82" s="1" t="s">
        <v>78</v>
      </c>
      <c r="M82" s="3">
        <v>154780</v>
      </c>
      <c r="N82" s="23">
        <f t="shared" si="13"/>
        <v>51593.333333333336</v>
      </c>
      <c r="O82" s="22">
        <f t="shared" ca="1" si="11"/>
        <v>38</v>
      </c>
    </row>
    <row r="83" spans="1:15">
      <c r="A83" s="1">
        <v>82</v>
      </c>
      <c r="B83" s="1" t="s">
        <v>226</v>
      </c>
      <c r="C83" s="1" t="s">
        <v>144</v>
      </c>
      <c r="D83" s="2">
        <v>29285</v>
      </c>
      <c r="E83" s="1" t="s">
        <v>227</v>
      </c>
      <c r="F83" s="1" t="s">
        <v>54</v>
      </c>
      <c r="G83" s="1" t="s">
        <v>19</v>
      </c>
      <c r="H83" s="1">
        <v>1</v>
      </c>
      <c r="I83" s="1" t="s">
        <v>81</v>
      </c>
      <c r="J83" s="2">
        <v>39788</v>
      </c>
      <c r="K83" s="1" t="s">
        <v>32</v>
      </c>
      <c r="L83" s="1" t="s">
        <v>33</v>
      </c>
      <c r="M83" s="3">
        <v>73900</v>
      </c>
      <c r="N83" s="23">
        <f t="shared" si="13"/>
        <v>24633.333333333332</v>
      </c>
      <c r="O83" s="22">
        <f t="shared" ca="1" si="11"/>
        <v>45</v>
      </c>
    </row>
    <row r="84" spans="1:15">
      <c r="A84" s="1">
        <v>83</v>
      </c>
      <c r="B84" s="1" t="s">
        <v>228</v>
      </c>
      <c r="C84" s="1" t="s">
        <v>229</v>
      </c>
      <c r="D84" s="2">
        <v>38406</v>
      </c>
      <c r="E84" s="1" t="s">
        <v>230</v>
      </c>
      <c r="F84" s="1" t="s">
        <v>122</v>
      </c>
      <c r="G84" s="1" t="s">
        <v>19</v>
      </c>
      <c r="H84" s="1">
        <v>1</v>
      </c>
      <c r="I84" s="1" t="s">
        <v>37</v>
      </c>
      <c r="J84" s="2">
        <v>39657</v>
      </c>
      <c r="K84" s="1" t="s">
        <v>87</v>
      </c>
      <c r="L84" s="1" t="s">
        <v>88</v>
      </c>
      <c r="M84" s="3">
        <v>120100</v>
      </c>
      <c r="N84" s="23">
        <f t="shared" si="13"/>
        <v>40033.333333333336</v>
      </c>
      <c r="O84" s="22">
        <f t="shared" ca="1" si="11"/>
        <v>20</v>
      </c>
    </row>
    <row r="85" spans="1:15">
      <c r="A85" s="1">
        <v>84</v>
      </c>
      <c r="B85" s="1" t="s">
        <v>228</v>
      </c>
      <c r="C85" s="1" t="s">
        <v>144</v>
      </c>
      <c r="D85" s="2">
        <v>30712</v>
      </c>
      <c r="E85" s="1" t="s">
        <v>231</v>
      </c>
      <c r="F85" s="1" t="s">
        <v>40</v>
      </c>
      <c r="G85" s="1" t="s">
        <v>19</v>
      </c>
      <c r="H85" s="1">
        <v>2</v>
      </c>
      <c r="I85" s="1" t="s">
        <v>59</v>
      </c>
      <c r="J85" s="2">
        <v>40033</v>
      </c>
      <c r="K85" s="1" t="s">
        <v>32</v>
      </c>
      <c r="L85" s="1" t="s">
        <v>33</v>
      </c>
      <c r="M85" s="3">
        <v>75400</v>
      </c>
      <c r="N85" s="23">
        <f t="shared" si="13"/>
        <v>18850</v>
      </c>
      <c r="O85" s="22">
        <f t="shared" ca="1" si="11"/>
        <v>41</v>
      </c>
    </row>
    <row r="86" spans="1:15">
      <c r="A86" s="1">
        <v>85</v>
      </c>
      <c r="B86" s="1" t="s">
        <v>228</v>
      </c>
      <c r="C86" s="1" t="s">
        <v>61</v>
      </c>
      <c r="D86" s="2">
        <v>33253</v>
      </c>
      <c r="E86" s="1" t="s">
        <v>232</v>
      </c>
      <c r="F86" s="1" t="s">
        <v>54</v>
      </c>
      <c r="G86" s="1" t="s">
        <v>19</v>
      </c>
      <c r="H86" s="1">
        <v>6</v>
      </c>
      <c r="I86" s="1" t="s">
        <v>37</v>
      </c>
      <c r="J86" s="2">
        <v>40662</v>
      </c>
      <c r="K86" s="1" t="s">
        <v>32</v>
      </c>
      <c r="L86" s="1" t="s">
        <v>55</v>
      </c>
      <c r="M86" s="3">
        <v>76120</v>
      </c>
      <c r="N86" s="23">
        <f t="shared" si="13"/>
        <v>9515</v>
      </c>
      <c r="O86" s="22">
        <f t="shared" ca="1" si="11"/>
        <v>35</v>
      </c>
    </row>
    <row r="87" spans="1:15">
      <c r="A87" s="1">
        <v>86</v>
      </c>
      <c r="B87" s="1" t="s">
        <v>233</v>
      </c>
      <c r="C87" s="1" t="s">
        <v>234</v>
      </c>
      <c r="D87" s="2">
        <v>35104</v>
      </c>
      <c r="E87" s="1" t="s">
        <v>235</v>
      </c>
      <c r="F87" s="1" t="s">
        <v>122</v>
      </c>
      <c r="G87" s="1" t="s">
        <v>19</v>
      </c>
      <c r="H87" s="1">
        <v>0</v>
      </c>
      <c r="I87" s="1" t="s">
        <v>236</v>
      </c>
      <c r="J87" s="2">
        <v>39623</v>
      </c>
      <c r="K87" s="1" t="s">
        <v>21</v>
      </c>
      <c r="L87" s="1" t="s">
        <v>94</v>
      </c>
      <c r="M87" s="3">
        <v>59944</v>
      </c>
      <c r="N87" s="23">
        <f t="shared" si="13"/>
        <v>29972</v>
      </c>
      <c r="O87" s="22">
        <f t="shared" ca="1" si="11"/>
        <v>29</v>
      </c>
    </row>
    <row r="88" spans="1:15">
      <c r="A88" s="1">
        <v>87</v>
      </c>
      <c r="B88" s="1" t="s">
        <v>237</v>
      </c>
      <c r="C88" s="1" t="s">
        <v>16</v>
      </c>
      <c r="D88" s="2">
        <v>31322</v>
      </c>
      <c r="E88" s="1" t="s">
        <v>238</v>
      </c>
      <c r="F88" s="1" t="s">
        <v>239</v>
      </c>
      <c r="G88" s="1" t="s">
        <v>27</v>
      </c>
      <c r="H88" s="1">
        <v>3</v>
      </c>
      <c r="I88" s="1" t="s">
        <v>127</v>
      </c>
      <c r="J88" s="2">
        <v>41811</v>
      </c>
      <c r="K88" s="1" t="s">
        <v>32</v>
      </c>
      <c r="L88" s="1" t="s">
        <v>33</v>
      </c>
      <c r="M88" s="3">
        <v>94729</v>
      </c>
      <c r="N88" s="16">
        <f t="shared" si="12"/>
        <v>23682.25</v>
      </c>
      <c r="O88" s="22">
        <f t="shared" ca="1" si="11"/>
        <v>40</v>
      </c>
    </row>
    <row r="89" spans="1:15">
      <c r="A89" s="1">
        <v>88</v>
      </c>
      <c r="B89" s="1" t="s">
        <v>240</v>
      </c>
      <c r="C89" s="1" t="s">
        <v>92</v>
      </c>
      <c r="D89" s="2">
        <v>33390</v>
      </c>
      <c r="E89" s="1" t="s">
        <v>241</v>
      </c>
      <c r="F89" s="1" t="s">
        <v>31</v>
      </c>
      <c r="G89" s="1" t="s">
        <v>19</v>
      </c>
      <c r="H89" s="1">
        <v>1</v>
      </c>
      <c r="I89" s="1" t="s">
        <v>242</v>
      </c>
      <c r="J89" s="2">
        <v>40729</v>
      </c>
      <c r="K89" s="1" t="s">
        <v>32</v>
      </c>
      <c r="L89" s="1" t="s">
        <v>55</v>
      </c>
      <c r="M89" s="3">
        <v>73900</v>
      </c>
      <c r="N89" s="23">
        <f t="shared" ref="N89:N90" si="14">M89 / (H89 + 2)</f>
        <v>24633.333333333332</v>
      </c>
      <c r="O89" s="22">
        <f t="shared" ca="1" si="11"/>
        <v>34</v>
      </c>
    </row>
    <row r="90" spans="1:15">
      <c r="A90" s="1">
        <v>89</v>
      </c>
      <c r="B90" s="1" t="s">
        <v>243</v>
      </c>
      <c r="C90" s="1" t="s">
        <v>126</v>
      </c>
      <c r="D90" s="2">
        <v>32919</v>
      </c>
      <c r="E90" s="1" t="s">
        <v>25</v>
      </c>
      <c r="F90" s="1" t="s">
        <v>18</v>
      </c>
      <c r="G90" s="1" t="s">
        <v>19</v>
      </c>
      <c r="H90" s="1">
        <v>1</v>
      </c>
      <c r="I90" s="1" t="s">
        <v>20</v>
      </c>
      <c r="J90" s="2">
        <v>39827</v>
      </c>
      <c r="K90" s="1" t="s">
        <v>149</v>
      </c>
      <c r="L90" s="1" t="s">
        <v>22</v>
      </c>
      <c r="M90" s="3">
        <v>58990</v>
      </c>
      <c r="N90" s="23">
        <f t="shared" si="14"/>
        <v>19663.333333333332</v>
      </c>
      <c r="O90" s="22">
        <f t="shared" ca="1" si="11"/>
        <v>35</v>
      </c>
    </row>
    <row r="91" spans="1:15">
      <c r="A91" s="1">
        <v>90</v>
      </c>
      <c r="B91" s="1" t="s">
        <v>244</v>
      </c>
      <c r="C91" s="1" t="s">
        <v>101</v>
      </c>
      <c r="D91" s="2">
        <v>29690</v>
      </c>
      <c r="E91" s="1" t="s">
        <v>90</v>
      </c>
      <c r="F91" s="1" t="s">
        <v>245</v>
      </c>
      <c r="G91" s="1" t="s">
        <v>27</v>
      </c>
      <c r="H91" s="1">
        <v>0</v>
      </c>
      <c r="I91" s="1" t="s">
        <v>37</v>
      </c>
      <c r="J91" s="2">
        <v>41578</v>
      </c>
      <c r="K91" s="1" t="s">
        <v>32</v>
      </c>
      <c r="L91" s="1" t="s">
        <v>33</v>
      </c>
      <c r="M91" s="3">
        <v>84316</v>
      </c>
      <c r="N91" s="16">
        <f t="shared" si="12"/>
        <v>84316</v>
      </c>
      <c r="O91" s="22">
        <f t="shared" ca="1" si="11"/>
        <v>44</v>
      </c>
    </row>
    <row r="92" spans="1:15">
      <c r="A92" s="1">
        <v>91</v>
      </c>
      <c r="B92" s="1" t="s">
        <v>246</v>
      </c>
      <c r="C92" s="1" t="s">
        <v>101</v>
      </c>
      <c r="D92" s="2">
        <v>26487</v>
      </c>
      <c r="E92" s="1" t="s">
        <v>25</v>
      </c>
      <c r="F92" s="1" t="s">
        <v>18</v>
      </c>
      <c r="G92" s="1" t="s">
        <v>19</v>
      </c>
      <c r="H92" s="1">
        <v>3</v>
      </c>
      <c r="I92" s="1" t="s">
        <v>37</v>
      </c>
      <c r="J92" s="2">
        <v>39904</v>
      </c>
      <c r="K92" s="1" t="s">
        <v>32</v>
      </c>
      <c r="L92" s="1" t="s">
        <v>55</v>
      </c>
      <c r="M92" s="3">
        <v>76120</v>
      </c>
      <c r="N92" s="23">
        <f t="shared" ref="N92:N99" si="15">M92 / (H92 + 2)</f>
        <v>15224</v>
      </c>
      <c r="O92" s="22">
        <f t="shared" ca="1" si="11"/>
        <v>53</v>
      </c>
    </row>
    <row r="93" spans="1:15">
      <c r="A93" s="1">
        <v>92</v>
      </c>
      <c r="B93" s="1" t="s">
        <v>247</v>
      </c>
      <c r="C93" s="1" t="s">
        <v>76</v>
      </c>
      <c r="D93" s="2">
        <v>34359</v>
      </c>
      <c r="E93" s="1" t="s">
        <v>158</v>
      </c>
      <c r="F93" s="1" t="s">
        <v>36</v>
      </c>
      <c r="G93" s="1" t="s">
        <v>19</v>
      </c>
      <c r="H93" s="1">
        <v>0</v>
      </c>
      <c r="I93" s="1" t="s">
        <v>20</v>
      </c>
      <c r="J93" s="2">
        <v>39642</v>
      </c>
      <c r="K93" s="1" t="s">
        <v>32</v>
      </c>
      <c r="L93" s="1" t="s">
        <v>78</v>
      </c>
      <c r="M93" s="3">
        <v>125044</v>
      </c>
      <c r="N93" s="23">
        <f t="shared" si="15"/>
        <v>62522</v>
      </c>
      <c r="O93" s="22">
        <f t="shared" ca="1" si="11"/>
        <v>31</v>
      </c>
    </row>
    <row r="94" spans="1:15">
      <c r="A94" s="1">
        <v>93</v>
      </c>
      <c r="B94" s="1" t="s">
        <v>248</v>
      </c>
      <c r="C94" s="1" t="s">
        <v>249</v>
      </c>
      <c r="D94" s="2">
        <v>25841</v>
      </c>
      <c r="E94" s="1" t="s">
        <v>67</v>
      </c>
      <c r="F94" s="1" t="s">
        <v>90</v>
      </c>
      <c r="G94" s="1" t="s">
        <v>19</v>
      </c>
      <c r="H94" s="1">
        <v>1</v>
      </c>
      <c r="I94" s="1" t="s">
        <v>37</v>
      </c>
      <c r="J94" s="2">
        <v>41795</v>
      </c>
      <c r="K94" s="1" t="s">
        <v>32</v>
      </c>
      <c r="L94" s="1" t="s">
        <v>78</v>
      </c>
      <c r="M94" s="3">
        <v>73930</v>
      </c>
      <c r="N94" s="23">
        <f t="shared" si="15"/>
        <v>24643.333333333332</v>
      </c>
      <c r="O94" s="22">
        <f t="shared" ca="1" si="11"/>
        <v>55</v>
      </c>
    </row>
    <row r="95" spans="1:15">
      <c r="A95" s="1">
        <v>94</v>
      </c>
      <c r="B95" s="1" t="s">
        <v>250</v>
      </c>
      <c r="C95" s="1" t="s">
        <v>251</v>
      </c>
      <c r="D95" s="2">
        <v>29538</v>
      </c>
      <c r="E95" s="1" t="s">
        <v>252</v>
      </c>
      <c r="F95" s="1" t="s">
        <v>36</v>
      </c>
      <c r="G95" s="1" t="s">
        <v>19</v>
      </c>
      <c r="H95" s="1">
        <v>0</v>
      </c>
      <c r="I95" s="1" t="s">
        <v>20</v>
      </c>
      <c r="J95" s="2">
        <v>41391</v>
      </c>
      <c r="K95" s="1" t="s">
        <v>149</v>
      </c>
      <c r="L95" s="1" t="s">
        <v>22</v>
      </c>
      <c r="M95" s="3">
        <v>81838</v>
      </c>
      <c r="N95" s="23">
        <f t="shared" si="15"/>
        <v>40919</v>
      </c>
      <c r="O95" s="22">
        <f t="shared" ca="1" si="11"/>
        <v>45</v>
      </c>
    </row>
    <row r="96" spans="1:15">
      <c r="A96" s="1">
        <v>95</v>
      </c>
      <c r="B96" s="1" t="s">
        <v>253</v>
      </c>
      <c r="C96" s="1" t="s">
        <v>254</v>
      </c>
      <c r="D96" s="2">
        <v>27287</v>
      </c>
      <c r="E96" s="1" t="s">
        <v>255</v>
      </c>
      <c r="F96" s="1" t="s">
        <v>54</v>
      </c>
      <c r="G96" s="1" t="s">
        <v>19</v>
      </c>
      <c r="H96" s="1">
        <v>1</v>
      </c>
      <c r="I96" s="1" t="s">
        <v>20</v>
      </c>
      <c r="J96" s="2">
        <v>40047</v>
      </c>
      <c r="K96" s="1" t="s">
        <v>32</v>
      </c>
      <c r="L96" s="1" t="s">
        <v>33</v>
      </c>
      <c r="M96" s="3">
        <v>120250</v>
      </c>
      <c r="N96" s="23">
        <f t="shared" si="15"/>
        <v>40083.333333333336</v>
      </c>
      <c r="O96" s="22">
        <f t="shared" ca="1" si="11"/>
        <v>51</v>
      </c>
    </row>
    <row r="97" spans="1:15">
      <c r="A97" s="1">
        <v>96</v>
      </c>
      <c r="B97" s="1" t="s">
        <v>256</v>
      </c>
      <c r="C97" s="1" t="s">
        <v>257</v>
      </c>
      <c r="D97" s="2">
        <v>30010</v>
      </c>
      <c r="E97" s="1" t="s">
        <v>25</v>
      </c>
      <c r="F97" s="1" t="s">
        <v>122</v>
      </c>
      <c r="G97" s="1" t="s">
        <v>19</v>
      </c>
      <c r="H97" s="1">
        <v>0</v>
      </c>
      <c r="I97" s="1" t="s">
        <v>20</v>
      </c>
      <c r="J97" s="2">
        <v>40017</v>
      </c>
      <c r="K97" s="1" t="s">
        <v>32</v>
      </c>
      <c r="L97" s="1" t="s">
        <v>33</v>
      </c>
      <c r="M97" s="3">
        <v>174340</v>
      </c>
      <c r="N97" s="23">
        <f t="shared" si="15"/>
        <v>87170</v>
      </c>
      <c r="O97" s="22">
        <f t="shared" ca="1" si="11"/>
        <v>43</v>
      </c>
    </row>
    <row r="98" spans="1:15">
      <c r="A98" s="1">
        <v>97</v>
      </c>
      <c r="B98" s="1" t="s">
        <v>258</v>
      </c>
      <c r="C98" s="1" t="s">
        <v>259</v>
      </c>
      <c r="D98" s="2">
        <v>27187</v>
      </c>
      <c r="E98" s="1" t="s">
        <v>260</v>
      </c>
      <c r="F98" s="1" t="s">
        <v>26</v>
      </c>
      <c r="G98" s="1" t="s">
        <v>19</v>
      </c>
      <c r="H98" s="1">
        <v>1</v>
      </c>
      <c r="I98" s="1" t="s">
        <v>37</v>
      </c>
      <c r="J98" s="2">
        <v>39311</v>
      </c>
      <c r="K98" s="1" t="s">
        <v>21</v>
      </c>
      <c r="L98" s="1" t="s">
        <v>22</v>
      </c>
      <c r="M98" s="3">
        <v>51940</v>
      </c>
      <c r="N98" s="23">
        <f t="shared" si="15"/>
        <v>17313.333333333332</v>
      </c>
      <c r="O98" s="22">
        <f t="shared" ref="O98:O121" ca="1" si="16">DATEDIF(D98,TODAY(),"Y")</f>
        <v>51</v>
      </c>
    </row>
    <row r="99" spans="1:15">
      <c r="A99" s="1">
        <v>98</v>
      </c>
      <c r="B99" s="1" t="s">
        <v>258</v>
      </c>
      <c r="C99" s="1" t="s">
        <v>259</v>
      </c>
      <c r="D99" s="2">
        <v>37663</v>
      </c>
      <c r="E99" s="1" t="s">
        <v>25</v>
      </c>
      <c r="F99" s="1" t="s">
        <v>18</v>
      </c>
      <c r="G99" s="1" t="s">
        <v>19</v>
      </c>
      <c r="H99" s="1">
        <v>1</v>
      </c>
      <c r="I99" s="1" t="s">
        <v>37</v>
      </c>
      <c r="J99" s="2">
        <v>39452</v>
      </c>
      <c r="K99" s="1" t="s">
        <v>32</v>
      </c>
      <c r="L99" s="1" t="s">
        <v>55</v>
      </c>
      <c r="M99" s="3">
        <v>73930</v>
      </c>
      <c r="N99" s="23">
        <f t="shared" si="15"/>
        <v>24643.333333333332</v>
      </c>
      <c r="O99" s="22">
        <f t="shared" ca="1" si="16"/>
        <v>22</v>
      </c>
    </row>
    <row r="100" spans="1:15">
      <c r="A100" s="1">
        <v>99</v>
      </c>
      <c r="B100" s="1" t="s">
        <v>261</v>
      </c>
      <c r="C100" s="1" t="s">
        <v>201</v>
      </c>
      <c r="D100" s="2">
        <v>36194</v>
      </c>
      <c r="E100" s="1" t="s">
        <v>262</v>
      </c>
      <c r="F100" s="1" t="s">
        <v>122</v>
      </c>
      <c r="G100" s="1" t="s">
        <v>27</v>
      </c>
      <c r="H100" s="1">
        <v>1</v>
      </c>
      <c r="I100" s="1" t="s">
        <v>45</v>
      </c>
      <c r="J100" s="2">
        <v>39402</v>
      </c>
      <c r="K100" s="1" t="s">
        <v>32</v>
      </c>
      <c r="L100" s="1" t="s">
        <v>33</v>
      </c>
      <c r="M100" s="3">
        <v>118330</v>
      </c>
      <c r="N100" s="16">
        <f t="shared" ref="N98:N129" si="17">M100 / (H100 + 1)</f>
        <v>59165</v>
      </c>
      <c r="O100" s="22">
        <f t="shared" ca="1" si="16"/>
        <v>26</v>
      </c>
    </row>
    <row r="101" spans="1:15">
      <c r="A101" s="1">
        <v>100</v>
      </c>
      <c r="B101" s="1" t="s">
        <v>263</v>
      </c>
      <c r="C101" s="1" t="s">
        <v>160</v>
      </c>
      <c r="D101" s="2">
        <v>29505</v>
      </c>
      <c r="E101" s="1" t="s">
        <v>264</v>
      </c>
      <c r="F101" s="1" t="s">
        <v>40</v>
      </c>
      <c r="G101" s="1" t="s">
        <v>19</v>
      </c>
      <c r="H101" s="1">
        <v>2</v>
      </c>
      <c r="I101" s="1" t="s">
        <v>265</v>
      </c>
      <c r="J101" s="2">
        <v>41293</v>
      </c>
      <c r="K101" s="1" t="s">
        <v>32</v>
      </c>
      <c r="L101" s="1" t="s">
        <v>33</v>
      </c>
      <c r="M101" s="3">
        <v>94720</v>
      </c>
      <c r="N101" s="23">
        <f t="shared" ref="N101:N106" si="18">M101 / (H101 + 2)</f>
        <v>23680</v>
      </c>
      <c r="O101" s="22">
        <f t="shared" ca="1" si="16"/>
        <v>45</v>
      </c>
    </row>
    <row r="102" spans="1:15">
      <c r="A102" s="1">
        <v>101</v>
      </c>
      <c r="B102" s="1" t="s">
        <v>266</v>
      </c>
      <c r="C102" s="1" t="s">
        <v>267</v>
      </c>
      <c r="D102" s="2">
        <v>34517</v>
      </c>
      <c r="E102" s="1" t="s">
        <v>90</v>
      </c>
      <c r="F102" s="1" t="s">
        <v>54</v>
      </c>
      <c r="G102" s="1" t="s">
        <v>19</v>
      </c>
      <c r="H102" s="1">
        <v>6</v>
      </c>
      <c r="I102" s="1" t="s">
        <v>45</v>
      </c>
      <c r="J102" s="2">
        <v>39937</v>
      </c>
      <c r="K102" s="1" t="s">
        <v>149</v>
      </c>
      <c r="L102" s="1" t="s">
        <v>22</v>
      </c>
      <c r="M102" s="3">
        <v>68864</v>
      </c>
      <c r="N102" s="23">
        <f t="shared" si="18"/>
        <v>8608</v>
      </c>
      <c r="O102" s="22">
        <f t="shared" ca="1" si="16"/>
        <v>31</v>
      </c>
    </row>
    <row r="103" spans="1:15">
      <c r="A103" s="1">
        <v>102</v>
      </c>
      <c r="B103" s="1" t="s">
        <v>268</v>
      </c>
      <c r="C103" s="1" t="s">
        <v>80</v>
      </c>
      <c r="D103" s="2">
        <v>30922</v>
      </c>
      <c r="E103" s="1" t="s">
        <v>93</v>
      </c>
      <c r="F103" s="1" t="s">
        <v>90</v>
      </c>
      <c r="G103" s="1" t="s">
        <v>19</v>
      </c>
      <c r="H103" s="1">
        <v>1</v>
      </c>
      <c r="I103" s="1" t="s">
        <v>59</v>
      </c>
      <c r="J103" s="2">
        <v>39340</v>
      </c>
      <c r="K103" s="1" t="s">
        <v>87</v>
      </c>
      <c r="L103" s="1" t="s">
        <v>88</v>
      </c>
      <c r="M103" s="3">
        <v>76600</v>
      </c>
      <c r="N103" s="23">
        <f t="shared" si="18"/>
        <v>25533.333333333332</v>
      </c>
      <c r="O103" s="22">
        <f t="shared" ca="1" si="16"/>
        <v>41</v>
      </c>
    </row>
    <row r="104" spans="1:15">
      <c r="A104" s="1">
        <v>103</v>
      </c>
      <c r="B104" s="1" t="s">
        <v>269</v>
      </c>
      <c r="C104" s="1" t="s">
        <v>270</v>
      </c>
      <c r="D104" s="2">
        <v>27756</v>
      </c>
      <c r="E104" s="1" t="s">
        <v>25</v>
      </c>
      <c r="F104" s="1" t="s">
        <v>18</v>
      </c>
      <c r="G104" s="1" t="s">
        <v>19</v>
      </c>
      <c r="H104" s="1">
        <v>0</v>
      </c>
      <c r="I104" s="1" t="s">
        <v>37</v>
      </c>
      <c r="J104" s="2">
        <v>39379</v>
      </c>
      <c r="K104" s="1" t="s">
        <v>32</v>
      </c>
      <c r="L104" s="1" t="s">
        <v>78</v>
      </c>
      <c r="M104" s="3">
        <v>84316</v>
      </c>
      <c r="N104" s="23">
        <f t="shared" si="18"/>
        <v>42158</v>
      </c>
      <c r="O104" s="22">
        <f t="shared" ca="1" si="16"/>
        <v>50</v>
      </c>
    </row>
    <row r="105" spans="1:15">
      <c r="A105" s="1">
        <v>104</v>
      </c>
      <c r="B105" s="1" t="s">
        <v>269</v>
      </c>
      <c r="C105" s="1" t="s">
        <v>271</v>
      </c>
      <c r="D105" s="2">
        <v>26349</v>
      </c>
      <c r="E105" s="1" t="s">
        <v>25</v>
      </c>
      <c r="F105" s="1" t="s">
        <v>122</v>
      </c>
      <c r="G105" s="1" t="s">
        <v>19</v>
      </c>
      <c r="H105" s="1">
        <v>1</v>
      </c>
      <c r="I105" s="1" t="s">
        <v>59</v>
      </c>
      <c r="J105" s="2">
        <v>39505</v>
      </c>
      <c r="K105" s="1" t="s">
        <v>87</v>
      </c>
      <c r="L105" s="1" t="s">
        <v>88</v>
      </c>
      <c r="M105" s="3">
        <v>76600</v>
      </c>
      <c r="N105" s="23">
        <f t="shared" si="18"/>
        <v>25533.333333333332</v>
      </c>
      <c r="O105" s="22">
        <f t="shared" ca="1" si="16"/>
        <v>53</v>
      </c>
    </row>
    <row r="106" spans="1:15">
      <c r="A106" s="1">
        <v>105</v>
      </c>
      <c r="B106" s="1" t="s">
        <v>272</v>
      </c>
      <c r="C106" s="1" t="s">
        <v>273</v>
      </c>
      <c r="D106" s="2">
        <v>34319</v>
      </c>
      <c r="E106" s="1" t="s">
        <v>274</v>
      </c>
      <c r="F106" s="1" t="s">
        <v>54</v>
      </c>
      <c r="G106" s="1" t="s">
        <v>19</v>
      </c>
      <c r="H106" s="1">
        <v>4</v>
      </c>
      <c r="I106" s="1" t="s">
        <v>28</v>
      </c>
      <c r="J106" s="2">
        <v>39410</v>
      </c>
      <c r="K106" s="1" t="s">
        <v>21</v>
      </c>
      <c r="L106" s="1" t="s">
        <v>22</v>
      </c>
      <c r="M106" s="3">
        <v>127900</v>
      </c>
      <c r="N106" s="23">
        <f t="shared" si="18"/>
        <v>21316.666666666668</v>
      </c>
      <c r="O106" s="22">
        <f t="shared" ca="1" si="16"/>
        <v>32</v>
      </c>
    </row>
    <row r="107" spans="1:15">
      <c r="A107" s="1">
        <v>106</v>
      </c>
      <c r="B107" s="1" t="s">
        <v>275</v>
      </c>
      <c r="C107" s="1" t="s">
        <v>154</v>
      </c>
      <c r="D107" s="2">
        <v>30399</v>
      </c>
      <c r="E107" s="1" t="s">
        <v>36</v>
      </c>
      <c r="F107" s="1" t="s">
        <v>40</v>
      </c>
      <c r="G107" s="1" t="s">
        <v>27</v>
      </c>
      <c r="H107" s="1">
        <v>1</v>
      </c>
      <c r="I107" s="1" t="s">
        <v>37</v>
      </c>
      <c r="J107" s="2">
        <v>38802</v>
      </c>
      <c r="K107" s="1" t="s">
        <v>32</v>
      </c>
      <c r="L107" s="1" t="s">
        <v>33</v>
      </c>
      <c r="M107" s="3">
        <v>136000</v>
      </c>
      <c r="N107" s="16">
        <f t="shared" si="17"/>
        <v>68000</v>
      </c>
      <c r="O107" s="22">
        <f t="shared" ca="1" si="16"/>
        <v>42</v>
      </c>
    </row>
    <row r="108" spans="1:15">
      <c r="A108" s="1">
        <v>107</v>
      </c>
      <c r="B108" s="1" t="s">
        <v>276</v>
      </c>
      <c r="C108" s="1" t="s">
        <v>49</v>
      </c>
      <c r="D108" s="2">
        <v>31790</v>
      </c>
      <c r="E108" s="1" t="s">
        <v>138</v>
      </c>
      <c r="F108" s="1" t="s">
        <v>31</v>
      </c>
      <c r="G108" s="1" t="s">
        <v>19</v>
      </c>
      <c r="H108" s="1">
        <v>2</v>
      </c>
      <c r="I108" s="1" t="s">
        <v>37</v>
      </c>
      <c r="J108" s="2">
        <v>41600</v>
      </c>
      <c r="K108" s="1" t="s">
        <v>32</v>
      </c>
      <c r="L108" s="1" t="s">
        <v>78</v>
      </c>
      <c r="M108" s="3">
        <v>53650</v>
      </c>
      <c r="N108" s="23">
        <f t="shared" ref="N108:N121" si="19">M108 / (H108 + 2)</f>
        <v>13412.5</v>
      </c>
      <c r="O108" s="22">
        <f t="shared" ca="1" si="16"/>
        <v>39</v>
      </c>
    </row>
    <row r="109" spans="1:15">
      <c r="A109" s="1">
        <v>108</v>
      </c>
      <c r="B109" s="1" t="s">
        <v>277</v>
      </c>
      <c r="C109" s="1" t="s">
        <v>107</v>
      </c>
      <c r="D109" s="2">
        <v>27943</v>
      </c>
      <c r="E109" s="1" t="s">
        <v>25</v>
      </c>
      <c r="F109" s="1" t="s">
        <v>122</v>
      </c>
      <c r="G109" s="1" t="s">
        <v>19</v>
      </c>
      <c r="H109" s="1">
        <v>0</v>
      </c>
      <c r="I109" s="1" t="s">
        <v>20</v>
      </c>
      <c r="J109" s="2">
        <v>38862</v>
      </c>
      <c r="K109" s="1" t="s">
        <v>149</v>
      </c>
      <c r="L109" s="1" t="s">
        <v>94</v>
      </c>
      <c r="M109" s="3">
        <v>81838</v>
      </c>
      <c r="N109" s="23">
        <f t="shared" si="19"/>
        <v>40919</v>
      </c>
      <c r="O109" s="22">
        <f t="shared" ca="1" si="16"/>
        <v>49</v>
      </c>
    </row>
    <row r="110" spans="1:15">
      <c r="A110" s="1">
        <v>109</v>
      </c>
      <c r="B110" s="1" t="s">
        <v>278</v>
      </c>
      <c r="C110" s="1" t="s">
        <v>279</v>
      </c>
      <c r="D110" s="2">
        <v>36097</v>
      </c>
      <c r="E110" s="1" t="s">
        <v>67</v>
      </c>
      <c r="F110" s="1" t="s">
        <v>90</v>
      </c>
      <c r="G110" s="1" t="s">
        <v>19</v>
      </c>
      <c r="H110" s="1">
        <v>5</v>
      </c>
      <c r="I110" s="1" t="s">
        <v>64</v>
      </c>
      <c r="J110" s="2">
        <v>39427</v>
      </c>
      <c r="K110" s="1" t="s">
        <v>68</v>
      </c>
      <c r="L110" s="1" t="s">
        <v>88</v>
      </c>
      <c r="M110" s="3">
        <v>66700</v>
      </c>
      <c r="N110" s="23">
        <f t="shared" si="19"/>
        <v>9528.5714285714294</v>
      </c>
      <c r="O110" s="22">
        <f t="shared" ca="1" si="16"/>
        <v>27</v>
      </c>
    </row>
    <row r="111" spans="1:15">
      <c r="A111" s="1">
        <v>110</v>
      </c>
      <c r="B111" s="1" t="s">
        <v>280</v>
      </c>
      <c r="C111" s="1" t="s">
        <v>101</v>
      </c>
      <c r="D111" s="2">
        <v>30013</v>
      </c>
      <c r="E111" s="1" t="s">
        <v>25</v>
      </c>
      <c r="F111" s="1" t="s">
        <v>18</v>
      </c>
      <c r="G111" s="1" t="s">
        <v>19</v>
      </c>
      <c r="H111" s="1">
        <v>2</v>
      </c>
      <c r="I111" s="1" t="s">
        <v>59</v>
      </c>
      <c r="J111" s="2">
        <v>39704</v>
      </c>
      <c r="K111" s="1" t="s">
        <v>32</v>
      </c>
      <c r="L111" s="1" t="s">
        <v>55</v>
      </c>
      <c r="M111" s="3">
        <v>138010</v>
      </c>
      <c r="N111" s="23">
        <f t="shared" si="19"/>
        <v>34502.5</v>
      </c>
      <c r="O111" s="22">
        <f t="shared" ca="1" si="16"/>
        <v>43</v>
      </c>
    </row>
    <row r="112" spans="1:15">
      <c r="A112" s="1">
        <v>111</v>
      </c>
      <c r="B112" s="1" t="s">
        <v>281</v>
      </c>
      <c r="C112" s="1" t="s">
        <v>121</v>
      </c>
      <c r="D112" s="2">
        <v>36099</v>
      </c>
      <c r="E112" s="1" t="s">
        <v>282</v>
      </c>
      <c r="F112" s="1" t="s">
        <v>54</v>
      </c>
      <c r="G112" s="1" t="s">
        <v>19</v>
      </c>
      <c r="H112" s="1">
        <v>3</v>
      </c>
      <c r="I112" s="1" t="s">
        <v>283</v>
      </c>
      <c r="J112" s="2">
        <v>39707</v>
      </c>
      <c r="K112" s="1" t="s">
        <v>21</v>
      </c>
      <c r="L112" s="1" t="s">
        <v>22</v>
      </c>
      <c r="M112" s="3">
        <v>91996</v>
      </c>
      <c r="N112" s="23">
        <f t="shared" si="19"/>
        <v>18399.2</v>
      </c>
      <c r="O112" s="22">
        <f t="shared" ca="1" si="16"/>
        <v>27</v>
      </c>
    </row>
    <row r="113" spans="1:15">
      <c r="A113" s="1">
        <v>112</v>
      </c>
      <c r="B113" s="1" t="s">
        <v>284</v>
      </c>
      <c r="C113" s="1" t="s">
        <v>63</v>
      </c>
      <c r="D113" s="2">
        <v>29619</v>
      </c>
      <c r="E113" s="1" t="s">
        <v>26</v>
      </c>
      <c r="F113" s="1" t="s">
        <v>36</v>
      </c>
      <c r="G113" s="1" t="s">
        <v>19</v>
      </c>
      <c r="H113" s="1">
        <v>4</v>
      </c>
      <c r="I113" s="1" t="s">
        <v>59</v>
      </c>
      <c r="J113" s="2">
        <v>41709</v>
      </c>
      <c r="K113" s="1" t="s">
        <v>32</v>
      </c>
      <c r="L113" s="1" t="s">
        <v>78</v>
      </c>
      <c r="M113" s="3">
        <v>92290</v>
      </c>
      <c r="N113" s="23">
        <f t="shared" si="19"/>
        <v>15381.666666666666</v>
      </c>
      <c r="O113" s="22">
        <f t="shared" ca="1" si="16"/>
        <v>44</v>
      </c>
    </row>
    <row r="114" spans="1:15">
      <c r="A114" s="1">
        <v>113</v>
      </c>
      <c r="B114" s="1" t="s">
        <v>285</v>
      </c>
      <c r="C114" s="1" t="s">
        <v>83</v>
      </c>
      <c r="D114" s="2">
        <v>27220</v>
      </c>
      <c r="E114" s="1" t="s">
        <v>25</v>
      </c>
      <c r="F114" s="1" t="s">
        <v>18</v>
      </c>
      <c r="G114" s="1" t="s">
        <v>19</v>
      </c>
      <c r="H114" s="1">
        <v>0</v>
      </c>
      <c r="I114" s="1" t="s">
        <v>45</v>
      </c>
      <c r="J114" s="2">
        <v>39998</v>
      </c>
      <c r="K114" s="1" t="s">
        <v>32</v>
      </c>
      <c r="L114" s="1" t="s">
        <v>78</v>
      </c>
      <c r="M114" s="3">
        <v>74200</v>
      </c>
      <c r="N114" s="23">
        <f t="shared" si="19"/>
        <v>37100</v>
      </c>
      <c r="O114" s="22">
        <f t="shared" ca="1" si="16"/>
        <v>51</v>
      </c>
    </row>
    <row r="115" spans="1:15">
      <c r="A115" s="1">
        <v>114</v>
      </c>
      <c r="B115" s="1" t="s">
        <v>286</v>
      </c>
      <c r="C115" s="1" t="s">
        <v>287</v>
      </c>
      <c r="D115" s="2">
        <v>29058</v>
      </c>
      <c r="E115" s="1" t="s">
        <v>288</v>
      </c>
      <c r="F115" s="1" t="s">
        <v>31</v>
      </c>
      <c r="G115" s="1" t="s">
        <v>19</v>
      </c>
      <c r="H115" s="1">
        <v>0</v>
      </c>
      <c r="I115" s="1" t="s">
        <v>20</v>
      </c>
      <c r="J115" s="2">
        <v>39544</v>
      </c>
      <c r="K115" s="1" t="s">
        <v>46</v>
      </c>
      <c r="L115" s="1" t="s">
        <v>47</v>
      </c>
      <c r="M115" s="3">
        <v>88726</v>
      </c>
      <c r="N115" s="23">
        <f t="shared" si="19"/>
        <v>44363</v>
      </c>
      <c r="O115" s="22">
        <f t="shared" ca="1" si="16"/>
        <v>46</v>
      </c>
    </row>
    <row r="116" spans="1:15">
      <c r="A116" s="1">
        <v>115</v>
      </c>
      <c r="B116" s="1" t="s">
        <v>289</v>
      </c>
      <c r="C116" s="1" t="s">
        <v>225</v>
      </c>
      <c r="D116" s="2">
        <v>29561</v>
      </c>
      <c r="E116" s="1" t="s">
        <v>290</v>
      </c>
      <c r="F116" s="1" t="s">
        <v>290</v>
      </c>
      <c r="G116" s="1" t="s">
        <v>19</v>
      </c>
      <c r="H116" s="1">
        <v>2</v>
      </c>
      <c r="I116" s="1" t="s">
        <v>37</v>
      </c>
      <c r="J116" s="2">
        <v>39986</v>
      </c>
      <c r="K116" s="1" t="s">
        <v>32</v>
      </c>
      <c r="L116" s="1" t="s">
        <v>55</v>
      </c>
      <c r="M116" s="3">
        <v>53650</v>
      </c>
      <c r="N116" s="23">
        <f t="shared" si="19"/>
        <v>13412.5</v>
      </c>
      <c r="O116" s="22">
        <f t="shared" ca="1" si="16"/>
        <v>45</v>
      </c>
    </row>
    <row r="117" spans="1:15">
      <c r="A117" s="1">
        <v>116</v>
      </c>
      <c r="B117" s="1" t="s">
        <v>291</v>
      </c>
      <c r="C117" s="1" t="s">
        <v>292</v>
      </c>
      <c r="D117" s="2">
        <v>27165</v>
      </c>
      <c r="E117" s="1" t="s">
        <v>25</v>
      </c>
      <c r="F117" s="1" t="s">
        <v>26</v>
      </c>
      <c r="G117" s="1" t="s">
        <v>19</v>
      </c>
      <c r="H117" s="1">
        <v>1</v>
      </c>
      <c r="I117" s="1" t="s">
        <v>265</v>
      </c>
      <c r="J117" s="2">
        <v>40095</v>
      </c>
      <c r="K117" s="1" t="s">
        <v>21</v>
      </c>
      <c r="L117" s="1" t="s">
        <v>22</v>
      </c>
      <c r="M117" s="3">
        <v>53254</v>
      </c>
      <c r="N117" s="23">
        <f t="shared" si="19"/>
        <v>17751.333333333332</v>
      </c>
      <c r="O117" s="22">
        <f t="shared" ca="1" si="16"/>
        <v>51</v>
      </c>
    </row>
    <row r="118" spans="1:15">
      <c r="A118" s="1">
        <v>117</v>
      </c>
      <c r="B118" s="1" t="s">
        <v>293</v>
      </c>
      <c r="C118" s="1" t="s">
        <v>294</v>
      </c>
      <c r="D118" s="2">
        <v>28733</v>
      </c>
      <c r="E118" s="1" t="s">
        <v>295</v>
      </c>
      <c r="F118" s="1" t="s">
        <v>54</v>
      </c>
      <c r="G118" s="1" t="s">
        <v>19</v>
      </c>
      <c r="H118" s="1">
        <v>3</v>
      </c>
      <c r="I118" s="1" t="s">
        <v>37</v>
      </c>
      <c r="J118" s="2">
        <v>41534</v>
      </c>
      <c r="K118" s="1" t="s">
        <v>32</v>
      </c>
      <c r="L118" s="1" t="s">
        <v>296</v>
      </c>
      <c r="M118" s="3">
        <v>83074</v>
      </c>
      <c r="N118" s="23">
        <f t="shared" si="19"/>
        <v>16614.8</v>
      </c>
      <c r="O118" s="22">
        <f t="shared" ca="1" si="16"/>
        <v>47</v>
      </c>
    </row>
    <row r="119" spans="1:15">
      <c r="A119" s="1">
        <v>118</v>
      </c>
      <c r="B119" s="1" t="s">
        <v>297</v>
      </c>
      <c r="C119" s="1" t="s">
        <v>298</v>
      </c>
      <c r="D119" s="2">
        <v>37120</v>
      </c>
      <c r="E119" s="1" t="s">
        <v>25</v>
      </c>
      <c r="F119" s="1" t="s">
        <v>18</v>
      </c>
      <c r="G119" s="1" t="s">
        <v>19</v>
      </c>
      <c r="H119" s="1">
        <v>3</v>
      </c>
      <c r="I119" s="1" t="s">
        <v>299</v>
      </c>
      <c r="J119" s="2">
        <v>39728</v>
      </c>
      <c r="K119" s="1" t="s">
        <v>21</v>
      </c>
      <c r="L119" s="1" t="s">
        <v>300</v>
      </c>
      <c r="M119" s="3">
        <v>124822</v>
      </c>
      <c r="N119" s="23">
        <f t="shared" si="19"/>
        <v>24964.400000000001</v>
      </c>
      <c r="O119" s="22">
        <f t="shared" ca="1" si="16"/>
        <v>24</v>
      </c>
    </row>
    <row r="120" spans="1:15">
      <c r="A120" s="1">
        <v>119</v>
      </c>
      <c r="B120" s="1" t="s">
        <v>301</v>
      </c>
      <c r="C120" s="1" t="s">
        <v>302</v>
      </c>
      <c r="D120" s="2">
        <v>35967</v>
      </c>
      <c r="E120" s="1" t="s">
        <v>303</v>
      </c>
      <c r="F120" s="1" t="s">
        <v>36</v>
      </c>
      <c r="G120" s="1" t="s">
        <v>19</v>
      </c>
      <c r="H120" s="1">
        <v>2</v>
      </c>
      <c r="I120" s="1" t="s">
        <v>127</v>
      </c>
      <c r="J120" s="2">
        <v>38863</v>
      </c>
      <c r="K120" s="1" t="s">
        <v>32</v>
      </c>
      <c r="L120" s="1" t="s">
        <v>78</v>
      </c>
      <c r="M120" s="3">
        <v>138010</v>
      </c>
      <c r="N120" s="23">
        <f t="shared" si="19"/>
        <v>34502.5</v>
      </c>
      <c r="O120" s="22">
        <f t="shared" ca="1" si="16"/>
        <v>27</v>
      </c>
    </row>
    <row r="121" spans="1:15">
      <c r="A121" s="1">
        <v>120</v>
      </c>
      <c r="B121" s="1" t="s">
        <v>304</v>
      </c>
      <c r="C121" s="1" t="s">
        <v>302</v>
      </c>
      <c r="D121" s="2">
        <v>34341</v>
      </c>
      <c r="E121" s="1" t="s">
        <v>37</v>
      </c>
      <c r="F121" s="1" t="s">
        <v>31</v>
      </c>
      <c r="G121" s="1" t="s">
        <v>19</v>
      </c>
      <c r="H121" s="1">
        <v>0</v>
      </c>
      <c r="I121" s="1" t="s">
        <v>81</v>
      </c>
      <c r="J121" s="2">
        <v>41084</v>
      </c>
      <c r="K121" s="1" t="s">
        <v>21</v>
      </c>
      <c r="L121" s="1" t="s">
        <v>94</v>
      </c>
      <c r="M121" s="3">
        <v>98976</v>
      </c>
      <c r="N121" s="23">
        <f t="shared" si="19"/>
        <v>49488</v>
      </c>
      <c r="O121" s="22">
        <f t="shared" ca="1" si="16"/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3D7C-64EF-417F-A2A7-D1D504592D02}">
  <dimension ref="A1:U121"/>
  <sheetViews>
    <sheetView workbookViewId="0">
      <selection activeCell="V11" sqref="V11"/>
    </sheetView>
  </sheetViews>
  <sheetFormatPr defaultRowHeight="15"/>
  <cols>
    <col min="1" max="1" width="31" customWidth="1"/>
    <col min="2" max="2" width="28" customWidth="1"/>
    <col min="3" max="3" width="19.28515625" customWidth="1"/>
    <col min="4" max="4" width="10.140625" bestFit="1" customWidth="1"/>
    <col min="18" max="18" width="14.85546875" bestFit="1" customWidth="1"/>
    <col min="19" max="19" width="18.140625" bestFit="1" customWidth="1"/>
    <col min="20" max="20" width="19.42578125" bestFit="1" customWidth="1"/>
    <col min="21" max="21" width="19.5703125" bestFit="1" customWidth="1"/>
  </cols>
  <sheetData>
    <row r="1" spans="1:21">
      <c r="A1" s="9" t="s">
        <v>10</v>
      </c>
      <c r="B1" s="9" t="s">
        <v>12</v>
      </c>
      <c r="D1" s="9" t="s">
        <v>10</v>
      </c>
      <c r="E1" s="9" t="s">
        <v>12</v>
      </c>
      <c r="G1" s="9" t="s">
        <v>10</v>
      </c>
      <c r="H1" s="9" t="s">
        <v>12</v>
      </c>
      <c r="J1" s="9" t="s">
        <v>10</v>
      </c>
      <c r="K1" s="9" t="s">
        <v>12</v>
      </c>
      <c r="M1" s="9" t="s">
        <v>10</v>
      </c>
      <c r="N1" s="9" t="s">
        <v>12</v>
      </c>
    </row>
    <row r="2" spans="1:21">
      <c r="A2" s="11" t="s">
        <v>21</v>
      </c>
      <c r="B2" s="18">
        <v>83269</v>
      </c>
      <c r="D2" s="11" t="s">
        <v>21</v>
      </c>
      <c r="E2" s="18">
        <v>83269</v>
      </c>
      <c r="G2" s="11" t="s">
        <v>87</v>
      </c>
      <c r="H2" s="18">
        <v>83200</v>
      </c>
      <c r="J2" s="11" t="s">
        <v>32</v>
      </c>
      <c r="K2" s="18">
        <v>63283</v>
      </c>
      <c r="M2" s="11" t="s">
        <v>46</v>
      </c>
      <c r="N2" s="18">
        <v>92650</v>
      </c>
    </row>
    <row r="3" spans="1:21">
      <c r="A3" s="14" t="s">
        <v>21</v>
      </c>
      <c r="B3" s="19">
        <v>98185</v>
      </c>
      <c r="D3" s="14" t="s">
        <v>21</v>
      </c>
      <c r="E3" s="19">
        <v>98185</v>
      </c>
      <c r="G3" s="14" t="s">
        <v>87</v>
      </c>
      <c r="H3" s="19">
        <v>83200</v>
      </c>
      <c r="J3" s="14" t="s">
        <v>32</v>
      </c>
      <c r="K3" s="19">
        <v>186556</v>
      </c>
      <c r="M3" s="14" t="s">
        <v>46</v>
      </c>
      <c r="N3" s="19">
        <v>97690</v>
      </c>
      <c r="R3" t="s">
        <v>305</v>
      </c>
      <c r="S3" t="s">
        <v>306</v>
      </c>
      <c r="T3" t="s">
        <v>307</v>
      </c>
      <c r="U3" t="s">
        <v>308</v>
      </c>
    </row>
    <row r="4" spans="1:21">
      <c r="A4" s="11" t="s">
        <v>32</v>
      </c>
      <c r="B4" s="18">
        <v>63283</v>
      </c>
      <c r="D4" s="11" t="s">
        <v>21</v>
      </c>
      <c r="E4" s="18">
        <v>70726</v>
      </c>
      <c r="G4" s="11" t="s">
        <v>87</v>
      </c>
      <c r="H4" s="18">
        <v>120100</v>
      </c>
      <c r="J4" s="11" t="s">
        <v>32</v>
      </c>
      <c r="K4" s="18">
        <v>125380</v>
      </c>
      <c r="M4" s="11" t="s">
        <v>46</v>
      </c>
      <c r="N4" s="18">
        <v>73750</v>
      </c>
      <c r="R4" s="24">
        <v>87209</v>
      </c>
      <c r="S4" s="25">
        <v>93300</v>
      </c>
      <c r="T4" s="26">
        <v>99174</v>
      </c>
      <c r="U4" s="7">
        <v>89825</v>
      </c>
    </row>
    <row r="5" spans="1:21">
      <c r="A5" s="14" t="s">
        <v>32</v>
      </c>
      <c r="B5" s="19">
        <v>186556</v>
      </c>
      <c r="D5" s="14" t="s">
        <v>21</v>
      </c>
      <c r="E5" s="19">
        <v>83269</v>
      </c>
      <c r="G5" s="14" t="s">
        <v>87</v>
      </c>
      <c r="H5" s="19">
        <v>120100</v>
      </c>
      <c r="J5" s="14" t="s">
        <v>32</v>
      </c>
      <c r="K5" s="19">
        <v>74200</v>
      </c>
      <c r="M5" s="14" t="s">
        <v>46</v>
      </c>
      <c r="N5" s="19">
        <v>83500</v>
      </c>
    </row>
    <row r="6" spans="1:21">
      <c r="A6" s="11" t="s">
        <v>32</v>
      </c>
      <c r="B6" s="18">
        <v>125380</v>
      </c>
      <c r="D6" s="11" t="s">
        <v>21</v>
      </c>
      <c r="E6" s="18">
        <v>100420</v>
      </c>
      <c r="G6" s="11" t="s">
        <v>87</v>
      </c>
      <c r="H6" s="18">
        <v>76600</v>
      </c>
      <c r="J6" s="11" t="s">
        <v>32</v>
      </c>
      <c r="K6" s="18">
        <v>92290</v>
      </c>
      <c r="M6" s="11" t="s">
        <v>46</v>
      </c>
      <c r="N6" s="18">
        <v>73750</v>
      </c>
    </row>
    <row r="7" spans="1:21">
      <c r="A7" s="14" t="s">
        <v>46</v>
      </c>
      <c r="B7" s="19">
        <v>92650</v>
      </c>
      <c r="D7" s="14" t="s">
        <v>21</v>
      </c>
      <c r="E7" s="19">
        <v>79600</v>
      </c>
      <c r="G7" s="14" t="s">
        <v>87</v>
      </c>
      <c r="H7" s="19">
        <v>76600</v>
      </c>
      <c r="J7" s="14" t="s">
        <v>32</v>
      </c>
      <c r="K7" s="19">
        <v>63283</v>
      </c>
      <c r="M7" s="14" t="s">
        <v>46</v>
      </c>
      <c r="N7" s="19">
        <v>83500</v>
      </c>
    </row>
    <row r="8" spans="1:21">
      <c r="A8" s="11" t="s">
        <v>21</v>
      </c>
      <c r="B8" s="18">
        <v>70726</v>
      </c>
      <c r="D8" s="11" t="s">
        <v>21</v>
      </c>
      <c r="E8" s="18">
        <v>73000</v>
      </c>
      <c r="J8" s="11" t="s">
        <v>32</v>
      </c>
      <c r="K8" s="18">
        <v>79600</v>
      </c>
      <c r="M8" s="11" t="s">
        <v>46</v>
      </c>
      <c r="N8" s="18">
        <v>92650</v>
      </c>
    </row>
    <row r="9" spans="1:21">
      <c r="A9" s="14" t="s">
        <v>32</v>
      </c>
      <c r="B9" s="19">
        <v>74200</v>
      </c>
      <c r="D9" s="14" t="s">
        <v>21</v>
      </c>
      <c r="E9" s="19">
        <v>114760</v>
      </c>
      <c r="G9" s="7" t="s">
        <v>309</v>
      </c>
      <c r="H9" s="24">
        <f>AVERAGE(H2:H7)</f>
        <v>93300</v>
      </c>
      <c r="J9" s="14" t="s">
        <v>32</v>
      </c>
      <c r="K9" s="19">
        <v>56995</v>
      </c>
      <c r="M9" s="14" t="s">
        <v>46</v>
      </c>
      <c r="N9" s="19">
        <v>97690</v>
      </c>
    </row>
    <row r="10" spans="1:21">
      <c r="A10" s="11" t="s">
        <v>32</v>
      </c>
      <c r="B10" s="18">
        <v>92290</v>
      </c>
      <c r="D10" s="11" t="s">
        <v>21</v>
      </c>
      <c r="E10" s="18">
        <v>79600</v>
      </c>
      <c r="J10" s="11" t="s">
        <v>32</v>
      </c>
      <c r="K10" s="18">
        <v>127018</v>
      </c>
      <c r="M10" s="11" t="s">
        <v>46</v>
      </c>
      <c r="N10" s="18">
        <v>76018</v>
      </c>
    </row>
    <row r="11" spans="1:21">
      <c r="A11" s="14" t="s">
        <v>32</v>
      </c>
      <c r="B11" s="19">
        <v>63283</v>
      </c>
      <c r="D11" s="14" t="s">
        <v>21</v>
      </c>
      <c r="E11" s="19">
        <v>91996</v>
      </c>
      <c r="J11" s="14" t="s">
        <v>32</v>
      </c>
      <c r="K11" s="19">
        <v>125380</v>
      </c>
      <c r="M11" s="14" t="s">
        <v>46</v>
      </c>
      <c r="N11" s="19">
        <v>88726</v>
      </c>
    </row>
    <row r="12" spans="1:21">
      <c r="A12" s="11" t="s">
        <v>46</v>
      </c>
      <c r="B12" s="18">
        <v>97690</v>
      </c>
      <c r="D12" s="11" t="s">
        <v>21</v>
      </c>
      <c r="E12" s="18">
        <v>66760</v>
      </c>
      <c r="J12" s="11" t="s">
        <v>32</v>
      </c>
      <c r="K12" s="18">
        <v>127018</v>
      </c>
      <c r="M12" s="11" t="s">
        <v>46</v>
      </c>
      <c r="N12" s="18">
        <v>116440</v>
      </c>
    </row>
    <row r="13" spans="1:21">
      <c r="A13" s="14" t="s">
        <v>68</v>
      </c>
      <c r="B13" s="19">
        <v>79600</v>
      </c>
      <c r="D13" s="14" t="s">
        <v>21</v>
      </c>
      <c r="E13" s="19">
        <v>114760</v>
      </c>
      <c r="J13" s="14" t="s">
        <v>32</v>
      </c>
      <c r="K13" s="19">
        <v>118900</v>
      </c>
      <c r="M13" s="14" t="s">
        <v>46</v>
      </c>
      <c r="N13" s="19">
        <v>76018</v>
      </c>
    </row>
    <row r="14" spans="1:21">
      <c r="A14" s="11" t="s">
        <v>21</v>
      </c>
      <c r="B14" s="18">
        <v>83269</v>
      </c>
      <c r="D14" s="11" t="s">
        <v>21</v>
      </c>
      <c r="E14" s="18">
        <v>80185</v>
      </c>
      <c r="J14" s="11" t="s">
        <v>32</v>
      </c>
      <c r="K14" s="18">
        <v>105044</v>
      </c>
      <c r="M14" s="11" t="s">
        <v>46</v>
      </c>
      <c r="N14" s="18">
        <v>116440</v>
      </c>
    </row>
    <row r="15" spans="1:21">
      <c r="A15" s="14" t="s">
        <v>21</v>
      </c>
      <c r="B15" s="19">
        <v>100420</v>
      </c>
      <c r="D15" s="14" t="s">
        <v>21</v>
      </c>
      <c r="E15" s="19">
        <v>113680</v>
      </c>
      <c r="J15" s="14" t="s">
        <v>32</v>
      </c>
      <c r="K15" s="19">
        <v>118900</v>
      </c>
      <c r="M15" s="14" t="s">
        <v>46</v>
      </c>
      <c r="N15" s="19">
        <v>88726</v>
      </c>
    </row>
    <row r="16" spans="1:21">
      <c r="A16" s="11" t="s">
        <v>32</v>
      </c>
      <c r="B16" s="18">
        <v>79600</v>
      </c>
      <c r="D16" s="11" t="s">
        <v>21</v>
      </c>
      <c r="E16" s="18">
        <v>127900</v>
      </c>
      <c r="J16" s="11" t="s">
        <v>32</v>
      </c>
      <c r="K16" s="18">
        <v>174340</v>
      </c>
    </row>
    <row r="17" spans="1:14">
      <c r="A17" s="14" t="s">
        <v>21</v>
      </c>
      <c r="B17" s="19">
        <v>79600</v>
      </c>
      <c r="D17" s="14" t="s">
        <v>21</v>
      </c>
      <c r="E17" s="19">
        <v>100420</v>
      </c>
      <c r="J17" s="14" t="s">
        <v>32</v>
      </c>
      <c r="K17" s="19">
        <v>108976</v>
      </c>
      <c r="M17" s="7" t="s">
        <v>309</v>
      </c>
      <c r="N17" s="24">
        <f>AVERAGE(N2:N15)</f>
        <v>89824.857142857145</v>
      </c>
    </row>
    <row r="18" spans="1:14">
      <c r="A18" s="11" t="s">
        <v>32</v>
      </c>
      <c r="B18" s="18">
        <v>56995</v>
      </c>
      <c r="D18" s="11" t="s">
        <v>149</v>
      </c>
      <c r="E18" s="18">
        <v>58990</v>
      </c>
      <c r="J18" s="11" t="s">
        <v>32</v>
      </c>
      <c r="K18" s="18">
        <v>73720</v>
      </c>
    </row>
    <row r="19" spans="1:14">
      <c r="A19" s="14" t="s">
        <v>87</v>
      </c>
      <c r="B19" s="19">
        <v>83200</v>
      </c>
      <c r="D19" s="14" t="s">
        <v>21</v>
      </c>
      <c r="E19" s="19">
        <v>113680</v>
      </c>
      <c r="J19" s="14" t="s">
        <v>32</v>
      </c>
      <c r="K19" s="19">
        <v>63130</v>
      </c>
    </row>
    <row r="20" spans="1:14">
      <c r="A20" s="11" t="s">
        <v>32</v>
      </c>
      <c r="B20" s="18">
        <v>127018</v>
      </c>
      <c r="D20" s="11" t="s">
        <v>21</v>
      </c>
      <c r="E20" s="18">
        <v>86500</v>
      </c>
      <c r="J20" s="11" t="s">
        <v>32</v>
      </c>
      <c r="K20" s="18">
        <v>73720</v>
      </c>
    </row>
    <row r="21" spans="1:14">
      <c r="A21" s="14" t="s">
        <v>21</v>
      </c>
      <c r="B21" s="19">
        <v>73000</v>
      </c>
      <c r="D21" s="14" t="s">
        <v>21</v>
      </c>
      <c r="E21" s="19">
        <v>73000</v>
      </c>
      <c r="J21" s="14" t="s">
        <v>32</v>
      </c>
      <c r="K21" s="19">
        <v>136000</v>
      </c>
    </row>
    <row r="22" spans="1:14">
      <c r="A22" s="11" t="s">
        <v>21</v>
      </c>
      <c r="B22" s="18">
        <v>114760</v>
      </c>
      <c r="D22" s="11" t="s">
        <v>21</v>
      </c>
      <c r="E22" s="18">
        <v>51940</v>
      </c>
      <c r="J22" s="11" t="s">
        <v>32</v>
      </c>
      <c r="K22" s="18">
        <v>103240</v>
      </c>
    </row>
    <row r="23" spans="1:14">
      <c r="A23" s="14" t="s">
        <v>21</v>
      </c>
      <c r="B23" s="19">
        <v>79600</v>
      </c>
      <c r="D23" s="14" t="s">
        <v>21</v>
      </c>
      <c r="E23" s="19">
        <v>124822</v>
      </c>
      <c r="J23" s="14" t="s">
        <v>32</v>
      </c>
      <c r="K23" s="19">
        <v>103240</v>
      </c>
    </row>
    <row r="24" spans="1:14">
      <c r="A24" s="11" t="s">
        <v>32</v>
      </c>
      <c r="B24" s="18">
        <v>125380</v>
      </c>
      <c r="D24" s="11" t="s">
        <v>149</v>
      </c>
      <c r="E24" s="18">
        <v>148864</v>
      </c>
      <c r="J24" s="11" t="s">
        <v>32</v>
      </c>
      <c r="K24" s="18">
        <v>75400</v>
      </c>
    </row>
    <row r="25" spans="1:14">
      <c r="A25" s="14" t="s">
        <v>21</v>
      </c>
      <c r="B25" s="19">
        <v>91996</v>
      </c>
      <c r="D25" s="14" t="s">
        <v>21</v>
      </c>
      <c r="E25" s="19">
        <v>86500</v>
      </c>
      <c r="J25" s="14" t="s">
        <v>32</v>
      </c>
      <c r="K25" s="19">
        <v>186556</v>
      </c>
    </row>
    <row r="26" spans="1:14">
      <c r="A26" s="11" t="s">
        <v>32</v>
      </c>
      <c r="B26" s="18">
        <v>127018</v>
      </c>
      <c r="D26" s="11" t="s">
        <v>21</v>
      </c>
      <c r="E26" s="18">
        <v>70726</v>
      </c>
      <c r="J26" s="11" t="s">
        <v>32</v>
      </c>
      <c r="K26" s="18">
        <v>94720</v>
      </c>
    </row>
    <row r="27" spans="1:14">
      <c r="A27" s="14" t="s">
        <v>32</v>
      </c>
      <c r="B27" s="19">
        <v>118900</v>
      </c>
      <c r="D27" s="14" t="s">
        <v>21</v>
      </c>
      <c r="E27" s="19">
        <v>66760</v>
      </c>
      <c r="J27" s="14" t="s">
        <v>32</v>
      </c>
      <c r="K27" s="19">
        <v>83074</v>
      </c>
    </row>
    <row r="28" spans="1:14">
      <c r="A28" s="11" t="s">
        <v>32</v>
      </c>
      <c r="B28" s="18">
        <v>105044</v>
      </c>
      <c r="D28" s="11" t="s">
        <v>21</v>
      </c>
      <c r="E28" s="18">
        <v>53254</v>
      </c>
      <c r="J28" s="11" t="s">
        <v>32</v>
      </c>
      <c r="K28" s="18">
        <v>63130</v>
      </c>
    </row>
    <row r="29" spans="1:14">
      <c r="A29" s="14" t="s">
        <v>21</v>
      </c>
      <c r="B29" s="19">
        <v>66760</v>
      </c>
      <c r="D29" s="14" t="s">
        <v>21</v>
      </c>
      <c r="E29" s="19">
        <v>59944</v>
      </c>
      <c r="J29" s="14" t="s">
        <v>32</v>
      </c>
      <c r="K29" s="19">
        <v>94729</v>
      </c>
    </row>
    <row r="30" spans="1:14">
      <c r="A30" s="11" t="s">
        <v>32</v>
      </c>
      <c r="B30" s="18">
        <v>118900</v>
      </c>
      <c r="D30" s="11" t="s">
        <v>149</v>
      </c>
      <c r="E30" s="18">
        <v>58990</v>
      </c>
      <c r="J30" s="11" t="s">
        <v>32</v>
      </c>
      <c r="K30" s="18">
        <v>56995</v>
      </c>
    </row>
    <row r="31" spans="1:14">
      <c r="A31" s="14" t="s">
        <v>21</v>
      </c>
      <c r="B31" s="19">
        <v>114760</v>
      </c>
      <c r="D31" s="14" t="s">
        <v>149</v>
      </c>
      <c r="E31" s="19">
        <v>81838</v>
      </c>
      <c r="J31" s="14" t="s">
        <v>32</v>
      </c>
      <c r="K31" s="19">
        <v>62920</v>
      </c>
    </row>
    <row r="32" spans="1:14">
      <c r="A32" s="11" t="s">
        <v>87</v>
      </c>
      <c r="B32" s="18">
        <v>83200</v>
      </c>
      <c r="D32" s="11" t="s">
        <v>21</v>
      </c>
      <c r="E32" s="18">
        <v>51940</v>
      </c>
      <c r="J32" s="11" t="s">
        <v>32</v>
      </c>
      <c r="K32" s="18">
        <v>62920</v>
      </c>
    </row>
    <row r="33" spans="1:11">
      <c r="A33" s="14" t="s">
        <v>32</v>
      </c>
      <c r="B33" s="19">
        <v>174340</v>
      </c>
      <c r="D33" s="14" t="s">
        <v>149</v>
      </c>
      <c r="E33" s="19">
        <v>68864</v>
      </c>
      <c r="J33" s="14" t="s">
        <v>32</v>
      </c>
      <c r="K33" s="19">
        <v>120250</v>
      </c>
    </row>
    <row r="34" spans="1:11">
      <c r="A34" s="11" t="s">
        <v>68</v>
      </c>
      <c r="B34" s="18">
        <v>118330</v>
      </c>
      <c r="D34" s="11" t="s">
        <v>21</v>
      </c>
      <c r="E34" s="18">
        <v>127900</v>
      </c>
      <c r="J34" s="11" t="s">
        <v>32</v>
      </c>
      <c r="K34" s="18">
        <v>108976</v>
      </c>
    </row>
    <row r="35" spans="1:11">
      <c r="A35" s="14" t="s">
        <v>32</v>
      </c>
      <c r="B35" s="19">
        <v>108976</v>
      </c>
      <c r="D35" s="14" t="s">
        <v>149</v>
      </c>
      <c r="E35" s="19">
        <v>81838</v>
      </c>
      <c r="J35" s="14" t="s">
        <v>32</v>
      </c>
      <c r="K35" s="19">
        <v>154780</v>
      </c>
    </row>
    <row r="36" spans="1:11">
      <c r="A36" s="11" t="s">
        <v>21</v>
      </c>
      <c r="B36" s="18">
        <v>80185</v>
      </c>
      <c r="D36" s="11" t="s">
        <v>21</v>
      </c>
      <c r="E36" s="18">
        <v>91996</v>
      </c>
      <c r="J36" s="11" t="s">
        <v>32</v>
      </c>
      <c r="K36" s="18">
        <v>73900</v>
      </c>
    </row>
    <row r="37" spans="1:11">
      <c r="A37" s="14" t="s">
        <v>46</v>
      </c>
      <c r="B37" s="19">
        <v>73750</v>
      </c>
      <c r="D37" s="14" t="s">
        <v>21</v>
      </c>
      <c r="E37" s="19">
        <v>53254</v>
      </c>
      <c r="J37" s="14" t="s">
        <v>32</v>
      </c>
      <c r="K37" s="19">
        <v>75400</v>
      </c>
    </row>
    <row r="38" spans="1:11">
      <c r="A38" s="11" t="s">
        <v>21</v>
      </c>
      <c r="B38" s="18">
        <v>113680</v>
      </c>
      <c r="D38" s="11" t="s">
        <v>21</v>
      </c>
      <c r="E38" s="18">
        <v>124822</v>
      </c>
      <c r="J38" s="11" t="s">
        <v>32</v>
      </c>
      <c r="K38" s="18">
        <v>76120</v>
      </c>
    </row>
    <row r="39" spans="1:11">
      <c r="A39" s="14" t="s">
        <v>46</v>
      </c>
      <c r="B39" s="19">
        <v>83500</v>
      </c>
      <c r="D39" s="14" t="s">
        <v>21</v>
      </c>
      <c r="E39" s="19">
        <v>98976</v>
      </c>
      <c r="J39" s="14" t="s">
        <v>32</v>
      </c>
      <c r="K39" s="19">
        <v>94729</v>
      </c>
    </row>
    <row r="40" spans="1:11">
      <c r="A40" s="11" t="s">
        <v>21</v>
      </c>
      <c r="B40" s="18">
        <v>127900</v>
      </c>
      <c r="J40" s="11" t="s">
        <v>32</v>
      </c>
      <c r="K40" s="18">
        <v>73900</v>
      </c>
    </row>
    <row r="41" spans="1:11">
      <c r="A41" s="14" t="s">
        <v>21</v>
      </c>
      <c r="B41" s="19">
        <v>100420</v>
      </c>
      <c r="D41" s="7" t="s">
        <v>309</v>
      </c>
      <c r="E41" s="24">
        <f>AVERAGE(E2:E39)</f>
        <v>87208.631578947374</v>
      </c>
      <c r="J41" s="14" t="s">
        <v>32</v>
      </c>
      <c r="K41" s="19">
        <v>84316</v>
      </c>
    </row>
    <row r="42" spans="1:11">
      <c r="A42" s="11" t="s">
        <v>149</v>
      </c>
      <c r="B42" s="18">
        <v>58990</v>
      </c>
      <c r="J42" s="11" t="s">
        <v>32</v>
      </c>
      <c r="K42" s="18">
        <v>76120</v>
      </c>
    </row>
    <row r="43" spans="1:11">
      <c r="A43" s="14" t="s">
        <v>32</v>
      </c>
      <c r="B43" s="19">
        <v>73720</v>
      </c>
      <c r="J43" s="14" t="s">
        <v>32</v>
      </c>
      <c r="K43" s="19">
        <v>125044</v>
      </c>
    </row>
    <row r="44" spans="1:11">
      <c r="A44" s="11" t="s">
        <v>32</v>
      </c>
      <c r="B44" s="18">
        <v>63130</v>
      </c>
      <c r="J44" s="11" t="s">
        <v>32</v>
      </c>
      <c r="K44" s="18">
        <v>73930</v>
      </c>
    </row>
    <row r="45" spans="1:11">
      <c r="A45" s="14" t="s">
        <v>32</v>
      </c>
      <c r="B45" s="19">
        <v>73720</v>
      </c>
      <c r="J45" s="14" t="s">
        <v>32</v>
      </c>
      <c r="K45" s="19">
        <v>120250</v>
      </c>
    </row>
    <row r="46" spans="1:11">
      <c r="A46" s="11" t="s">
        <v>32</v>
      </c>
      <c r="B46" s="18">
        <v>136000</v>
      </c>
      <c r="J46" s="11" t="s">
        <v>32</v>
      </c>
      <c r="K46" s="18">
        <v>174340</v>
      </c>
    </row>
    <row r="47" spans="1:11">
      <c r="A47" s="14" t="s">
        <v>32</v>
      </c>
      <c r="B47" s="19">
        <v>103240</v>
      </c>
      <c r="J47" s="14" t="s">
        <v>32</v>
      </c>
      <c r="K47" s="19">
        <v>73930</v>
      </c>
    </row>
    <row r="48" spans="1:11">
      <c r="A48" s="11" t="s">
        <v>46</v>
      </c>
      <c r="B48" s="18">
        <v>73750</v>
      </c>
      <c r="J48" s="11" t="s">
        <v>32</v>
      </c>
      <c r="K48" s="18">
        <v>118330</v>
      </c>
    </row>
    <row r="49" spans="1:11">
      <c r="A49" s="14" t="s">
        <v>21</v>
      </c>
      <c r="B49" s="19">
        <v>113680</v>
      </c>
      <c r="J49" s="14" t="s">
        <v>32</v>
      </c>
      <c r="K49" s="19">
        <v>94720</v>
      </c>
    </row>
    <row r="50" spans="1:11">
      <c r="A50" s="11" t="s">
        <v>32</v>
      </c>
      <c r="B50" s="18">
        <v>103240</v>
      </c>
      <c r="J50" s="11" t="s">
        <v>32</v>
      </c>
      <c r="K50" s="18">
        <v>84316</v>
      </c>
    </row>
    <row r="51" spans="1:11">
      <c r="A51" s="14" t="s">
        <v>68</v>
      </c>
      <c r="B51" s="19">
        <v>66700</v>
      </c>
      <c r="J51" s="14" t="s">
        <v>32</v>
      </c>
      <c r="K51" s="19">
        <v>136000</v>
      </c>
    </row>
    <row r="52" spans="1:11">
      <c r="A52" s="11" t="s">
        <v>21</v>
      </c>
      <c r="B52" s="18">
        <v>86500</v>
      </c>
      <c r="J52" s="11" t="s">
        <v>32</v>
      </c>
      <c r="K52" s="18">
        <v>53650</v>
      </c>
    </row>
    <row r="53" spans="1:11">
      <c r="A53" s="14" t="s">
        <v>46</v>
      </c>
      <c r="B53" s="19">
        <v>83500</v>
      </c>
      <c r="J53" s="14" t="s">
        <v>32</v>
      </c>
      <c r="K53" s="19">
        <v>138010</v>
      </c>
    </row>
    <row r="54" spans="1:11">
      <c r="A54" s="11" t="s">
        <v>46</v>
      </c>
      <c r="B54" s="18">
        <v>92650</v>
      </c>
      <c r="J54" s="11" t="s">
        <v>32</v>
      </c>
      <c r="K54" s="18">
        <v>92290</v>
      </c>
    </row>
    <row r="55" spans="1:11">
      <c r="A55" s="14" t="s">
        <v>21</v>
      </c>
      <c r="B55" s="19">
        <v>73000</v>
      </c>
      <c r="J55" s="14" t="s">
        <v>32</v>
      </c>
      <c r="K55" s="19">
        <v>74200</v>
      </c>
    </row>
    <row r="56" spans="1:11">
      <c r="A56" s="11" t="s">
        <v>32</v>
      </c>
      <c r="B56" s="18">
        <v>75400</v>
      </c>
      <c r="J56" s="11" t="s">
        <v>32</v>
      </c>
      <c r="K56" s="18">
        <v>53650</v>
      </c>
    </row>
    <row r="57" spans="1:11">
      <c r="A57" s="14" t="s">
        <v>32</v>
      </c>
      <c r="B57" s="19">
        <v>186556</v>
      </c>
      <c r="J57" s="14" t="s">
        <v>32</v>
      </c>
      <c r="K57" s="19">
        <v>83074</v>
      </c>
    </row>
    <row r="58" spans="1:11">
      <c r="A58" s="11" t="s">
        <v>32</v>
      </c>
      <c r="B58" s="18">
        <v>94720</v>
      </c>
      <c r="J58" s="11" t="s">
        <v>32</v>
      </c>
      <c r="K58" s="18">
        <v>138010</v>
      </c>
    </row>
    <row r="59" spans="1:11">
      <c r="A59" s="14" t="s">
        <v>68</v>
      </c>
      <c r="B59" s="19">
        <v>154780</v>
      </c>
    </row>
    <row r="60" spans="1:11">
      <c r="A60" s="11" t="s">
        <v>32</v>
      </c>
      <c r="B60" s="18">
        <v>83074</v>
      </c>
      <c r="J60" s="7" t="s">
        <v>309</v>
      </c>
      <c r="K60" s="24">
        <f>AVERAGE(K2:K58)</f>
        <v>99173.543859649129</v>
      </c>
    </row>
    <row r="61" spans="1:11">
      <c r="A61" s="14" t="s">
        <v>32</v>
      </c>
      <c r="B61" s="19">
        <v>63130</v>
      </c>
    </row>
    <row r="62" spans="1:11">
      <c r="A62" s="11" t="s">
        <v>32</v>
      </c>
      <c r="B62" s="18">
        <v>94729</v>
      </c>
    </row>
    <row r="63" spans="1:11">
      <c r="A63" s="14" t="s">
        <v>46</v>
      </c>
      <c r="B63" s="19">
        <v>97690</v>
      </c>
    </row>
    <row r="64" spans="1:11">
      <c r="A64" s="11" t="s">
        <v>21</v>
      </c>
      <c r="B64" s="18">
        <v>51940</v>
      </c>
    </row>
    <row r="65" spans="1:2">
      <c r="A65" s="14" t="s">
        <v>32</v>
      </c>
      <c r="B65" s="19">
        <v>56995</v>
      </c>
    </row>
    <row r="66" spans="1:2">
      <c r="A66" s="11" t="s">
        <v>32</v>
      </c>
      <c r="B66" s="18">
        <v>62920</v>
      </c>
    </row>
    <row r="67" spans="1:2">
      <c r="A67" s="14" t="s">
        <v>21</v>
      </c>
      <c r="B67" s="19">
        <v>124822</v>
      </c>
    </row>
    <row r="68" spans="1:2">
      <c r="A68" s="11" t="s">
        <v>32</v>
      </c>
      <c r="B68" s="18">
        <v>62920</v>
      </c>
    </row>
    <row r="69" spans="1:2">
      <c r="A69" s="14" t="s">
        <v>149</v>
      </c>
      <c r="B69" s="19">
        <v>148864</v>
      </c>
    </row>
    <row r="70" spans="1:2">
      <c r="A70" s="11" t="s">
        <v>46</v>
      </c>
      <c r="B70" s="18">
        <v>76018</v>
      </c>
    </row>
    <row r="71" spans="1:2">
      <c r="A71" s="14" t="s">
        <v>32</v>
      </c>
      <c r="B71" s="19">
        <v>120250</v>
      </c>
    </row>
    <row r="72" spans="1:2">
      <c r="A72" s="11" t="s">
        <v>21</v>
      </c>
      <c r="B72" s="18">
        <v>86500</v>
      </c>
    </row>
    <row r="73" spans="1:2">
      <c r="A73" s="14" t="s">
        <v>32</v>
      </c>
      <c r="B73" s="19">
        <v>108976</v>
      </c>
    </row>
    <row r="74" spans="1:2">
      <c r="A74" s="11" t="s">
        <v>46</v>
      </c>
      <c r="B74" s="18">
        <v>88726</v>
      </c>
    </row>
    <row r="75" spans="1:2">
      <c r="A75" s="14" t="s">
        <v>87</v>
      </c>
      <c r="B75" s="19">
        <v>120100</v>
      </c>
    </row>
    <row r="76" spans="1:2">
      <c r="A76" s="11" t="s">
        <v>46</v>
      </c>
      <c r="B76" s="18">
        <v>116440</v>
      </c>
    </row>
    <row r="77" spans="1:2">
      <c r="A77" s="14" t="s">
        <v>21</v>
      </c>
      <c r="B77" s="19">
        <v>70726</v>
      </c>
    </row>
    <row r="78" spans="1:2">
      <c r="A78" s="11" t="s">
        <v>46</v>
      </c>
      <c r="B78" s="18">
        <v>76018</v>
      </c>
    </row>
    <row r="79" spans="1:2">
      <c r="A79" s="14" t="s">
        <v>21</v>
      </c>
      <c r="B79" s="19">
        <v>66760</v>
      </c>
    </row>
    <row r="80" spans="1:2">
      <c r="A80" s="11" t="s">
        <v>46</v>
      </c>
      <c r="B80" s="18">
        <v>116440</v>
      </c>
    </row>
    <row r="81" spans="1:2">
      <c r="A81" s="14" t="s">
        <v>21</v>
      </c>
      <c r="B81" s="19">
        <v>53254</v>
      </c>
    </row>
    <row r="82" spans="1:2">
      <c r="A82" s="11" t="s">
        <v>32</v>
      </c>
      <c r="B82" s="18">
        <v>154780</v>
      </c>
    </row>
    <row r="83" spans="1:2">
      <c r="A83" s="14" t="s">
        <v>32</v>
      </c>
      <c r="B83" s="19">
        <v>73900</v>
      </c>
    </row>
    <row r="84" spans="1:2">
      <c r="A84" s="11" t="s">
        <v>87</v>
      </c>
      <c r="B84" s="18">
        <v>120100</v>
      </c>
    </row>
    <row r="85" spans="1:2">
      <c r="A85" s="14" t="s">
        <v>32</v>
      </c>
      <c r="B85" s="19">
        <v>75400</v>
      </c>
    </row>
    <row r="86" spans="1:2">
      <c r="A86" s="11" t="s">
        <v>32</v>
      </c>
      <c r="B86" s="18">
        <v>76120</v>
      </c>
    </row>
    <row r="87" spans="1:2">
      <c r="A87" s="14" t="s">
        <v>21</v>
      </c>
      <c r="B87" s="19">
        <v>59944</v>
      </c>
    </row>
    <row r="88" spans="1:2">
      <c r="A88" s="11" t="s">
        <v>32</v>
      </c>
      <c r="B88" s="18">
        <v>94729</v>
      </c>
    </row>
    <row r="89" spans="1:2">
      <c r="A89" s="14" t="s">
        <v>32</v>
      </c>
      <c r="B89" s="19">
        <v>73900</v>
      </c>
    </row>
    <row r="90" spans="1:2">
      <c r="A90" s="11" t="s">
        <v>149</v>
      </c>
      <c r="B90" s="18">
        <v>58990</v>
      </c>
    </row>
    <row r="91" spans="1:2">
      <c r="A91" s="14" t="s">
        <v>32</v>
      </c>
      <c r="B91" s="19">
        <v>84316</v>
      </c>
    </row>
    <row r="92" spans="1:2">
      <c r="A92" s="11" t="s">
        <v>32</v>
      </c>
      <c r="B92" s="18">
        <v>76120</v>
      </c>
    </row>
    <row r="93" spans="1:2">
      <c r="A93" s="14" t="s">
        <v>32</v>
      </c>
      <c r="B93" s="19">
        <v>125044</v>
      </c>
    </row>
    <row r="94" spans="1:2">
      <c r="A94" s="11" t="s">
        <v>32</v>
      </c>
      <c r="B94" s="18">
        <v>73930</v>
      </c>
    </row>
    <row r="95" spans="1:2">
      <c r="A95" s="14" t="s">
        <v>149</v>
      </c>
      <c r="B95" s="19">
        <v>81838</v>
      </c>
    </row>
    <row r="96" spans="1:2">
      <c r="A96" s="11" t="s">
        <v>32</v>
      </c>
      <c r="B96" s="18">
        <v>120250</v>
      </c>
    </row>
    <row r="97" spans="1:2">
      <c r="A97" s="14" t="s">
        <v>32</v>
      </c>
      <c r="B97" s="19">
        <v>174340</v>
      </c>
    </row>
    <row r="98" spans="1:2">
      <c r="A98" s="11" t="s">
        <v>21</v>
      </c>
      <c r="B98" s="18">
        <v>51940</v>
      </c>
    </row>
    <row r="99" spans="1:2">
      <c r="A99" s="14" t="s">
        <v>32</v>
      </c>
      <c r="B99" s="19">
        <v>73930</v>
      </c>
    </row>
    <row r="100" spans="1:2">
      <c r="A100" s="11" t="s">
        <v>32</v>
      </c>
      <c r="B100" s="18">
        <v>118330</v>
      </c>
    </row>
    <row r="101" spans="1:2">
      <c r="A101" s="14" t="s">
        <v>32</v>
      </c>
      <c r="B101" s="19">
        <v>94720</v>
      </c>
    </row>
    <row r="102" spans="1:2">
      <c r="A102" s="11" t="s">
        <v>149</v>
      </c>
      <c r="B102" s="18">
        <v>68864</v>
      </c>
    </row>
    <row r="103" spans="1:2">
      <c r="A103" s="14" t="s">
        <v>87</v>
      </c>
      <c r="B103" s="19">
        <v>76600</v>
      </c>
    </row>
    <row r="104" spans="1:2">
      <c r="A104" s="11" t="s">
        <v>32</v>
      </c>
      <c r="B104" s="18">
        <v>84316</v>
      </c>
    </row>
    <row r="105" spans="1:2">
      <c r="A105" s="14" t="s">
        <v>87</v>
      </c>
      <c r="B105" s="19">
        <v>76600</v>
      </c>
    </row>
    <row r="106" spans="1:2">
      <c r="A106" s="11" t="s">
        <v>21</v>
      </c>
      <c r="B106" s="18">
        <v>127900</v>
      </c>
    </row>
    <row r="107" spans="1:2">
      <c r="A107" s="14" t="s">
        <v>32</v>
      </c>
      <c r="B107" s="19">
        <v>136000</v>
      </c>
    </row>
    <row r="108" spans="1:2">
      <c r="A108" s="11" t="s">
        <v>32</v>
      </c>
      <c r="B108" s="18">
        <v>53650</v>
      </c>
    </row>
    <row r="109" spans="1:2">
      <c r="A109" s="14" t="s">
        <v>149</v>
      </c>
      <c r="B109" s="19">
        <v>81838</v>
      </c>
    </row>
    <row r="110" spans="1:2">
      <c r="A110" s="11" t="s">
        <v>68</v>
      </c>
      <c r="B110" s="18">
        <v>66700</v>
      </c>
    </row>
    <row r="111" spans="1:2">
      <c r="A111" s="14" t="s">
        <v>32</v>
      </c>
      <c r="B111" s="19">
        <v>138010</v>
      </c>
    </row>
    <row r="112" spans="1:2">
      <c r="A112" s="11" t="s">
        <v>21</v>
      </c>
      <c r="B112" s="18">
        <v>91996</v>
      </c>
    </row>
    <row r="113" spans="1:2">
      <c r="A113" s="14" t="s">
        <v>32</v>
      </c>
      <c r="B113" s="19">
        <v>92290</v>
      </c>
    </row>
    <row r="114" spans="1:2">
      <c r="A114" s="11" t="s">
        <v>32</v>
      </c>
      <c r="B114" s="18">
        <v>74200</v>
      </c>
    </row>
    <row r="115" spans="1:2">
      <c r="A115" s="14" t="s">
        <v>46</v>
      </c>
      <c r="B115" s="19">
        <v>88726</v>
      </c>
    </row>
    <row r="116" spans="1:2">
      <c r="A116" s="11" t="s">
        <v>32</v>
      </c>
      <c r="B116" s="18">
        <v>53650</v>
      </c>
    </row>
    <row r="117" spans="1:2">
      <c r="A117" s="14" t="s">
        <v>21</v>
      </c>
      <c r="B117" s="19">
        <v>53254</v>
      </c>
    </row>
    <row r="118" spans="1:2">
      <c r="A118" s="11" t="s">
        <v>32</v>
      </c>
      <c r="B118" s="18">
        <v>83074</v>
      </c>
    </row>
    <row r="119" spans="1:2">
      <c r="A119" s="14" t="s">
        <v>21</v>
      </c>
      <c r="B119" s="19">
        <v>124822</v>
      </c>
    </row>
    <row r="120" spans="1:2">
      <c r="A120" s="11" t="s">
        <v>32</v>
      </c>
      <c r="B120" s="18">
        <v>138010</v>
      </c>
    </row>
    <row r="121" spans="1:2">
      <c r="A121" s="14" t="s">
        <v>21</v>
      </c>
      <c r="B121" s="19">
        <v>98976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EB48-C760-4EEE-8D12-7524BAEED93F}">
  <dimension ref="A3:O11"/>
  <sheetViews>
    <sheetView workbookViewId="0">
      <selection activeCell="M10" sqref="M10"/>
    </sheetView>
  </sheetViews>
  <sheetFormatPr defaultRowHeight="15"/>
  <cols>
    <col min="1" max="1" width="14.5703125" bestFit="1" customWidth="1"/>
    <col min="2" max="2" width="14.140625" bestFit="1" customWidth="1"/>
    <col min="3" max="3" width="10.7109375" bestFit="1" customWidth="1"/>
    <col min="4" max="4" width="9.42578125" bestFit="1" customWidth="1"/>
    <col min="5" max="5" width="10" bestFit="1" customWidth="1"/>
    <col min="6" max="6" width="8.85546875" bestFit="1" customWidth="1"/>
    <col min="8" max="8" width="11.140625" bestFit="1" customWidth="1"/>
    <col min="9" max="9" width="10.28515625" bestFit="1" customWidth="1"/>
    <col min="10" max="10" width="9.42578125" bestFit="1" customWidth="1"/>
    <col min="11" max="11" width="10.140625" bestFit="1" customWidth="1"/>
    <col min="12" max="12" width="10.7109375" bestFit="1" customWidth="1"/>
    <col min="13" max="13" width="16.42578125" bestFit="1" customWidth="1"/>
    <col min="14" max="14" width="13.5703125" bestFit="1" customWidth="1"/>
    <col min="15" max="15" width="14.28515625" bestFit="1" customWidth="1"/>
  </cols>
  <sheetData>
    <row r="3" spans="1:15">
      <c r="A3" s="5" t="s">
        <v>310</v>
      </c>
      <c r="B3" s="5" t="s">
        <v>11</v>
      </c>
    </row>
    <row r="4" spans="1:15">
      <c r="A4" s="5" t="s">
        <v>10</v>
      </c>
      <c r="B4" t="s">
        <v>124</v>
      </c>
      <c r="C4" t="s">
        <v>174</v>
      </c>
      <c r="D4" t="s">
        <v>47</v>
      </c>
      <c r="E4" t="s">
        <v>33</v>
      </c>
      <c r="F4" t="s">
        <v>296</v>
      </c>
      <c r="G4" t="s">
        <v>94</v>
      </c>
      <c r="H4" t="s">
        <v>88</v>
      </c>
      <c r="I4" t="s">
        <v>78</v>
      </c>
      <c r="J4" t="s">
        <v>22</v>
      </c>
      <c r="K4" t="s">
        <v>300</v>
      </c>
      <c r="L4" t="s">
        <v>55</v>
      </c>
      <c r="M4" t="s">
        <v>69</v>
      </c>
      <c r="N4" t="s">
        <v>38</v>
      </c>
      <c r="O4" t="s">
        <v>311</v>
      </c>
    </row>
    <row r="5" spans="1:15">
      <c r="A5" t="s">
        <v>21</v>
      </c>
      <c r="B5" s="6"/>
      <c r="C5" s="6"/>
      <c r="D5" s="6"/>
      <c r="E5" s="6"/>
      <c r="F5" s="6"/>
      <c r="G5" s="6">
        <v>477920</v>
      </c>
      <c r="H5" s="6"/>
      <c r="I5" s="6"/>
      <c r="J5" s="6">
        <v>2211802</v>
      </c>
      <c r="K5" s="6">
        <v>124822</v>
      </c>
      <c r="L5" s="6"/>
      <c r="M5" s="6"/>
      <c r="N5" s="6"/>
      <c r="O5" s="6">
        <v>2814544</v>
      </c>
    </row>
    <row r="6" spans="1:15">
      <c r="A6" t="s">
        <v>149</v>
      </c>
      <c r="B6" s="6"/>
      <c r="C6" s="6"/>
      <c r="D6" s="6"/>
      <c r="E6" s="6"/>
      <c r="F6" s="6"/>
      <c r="G6" s="6">
        <v>81838</v>
      </c>
      <c r="H6" s="6"/>
      <c r="I6" s="6"/>
      <c r="J6" s="6">
        <v>417546</v>
      </c>
      <c r="K6" s="6"/>
      <c r="L6" s="6"/>
      <c r="M6" s="6"/>
      <c r="N6" s="6"/>
      <c r="O6" s="6">
        <v>499384</v>
      </c>
    </row>
    <row r="7" spans="1:15">
      <c r="A7" t="s">
        <v>87</v>
      </c>
      <c r="B7" s="6"/>
      <c r="C7" s="6"/>
      <c r="D7" s="6"/>
      <c r="E7" s="6"/>
      <c r="F7" s="6"/>
      <c r="G7" s="6"/>
      <c r="H7" s="6">
        <v>559800</v>
      </c>
      <c r="I7" s="6"/>
      <c r="J7" s="6"/>
      <c r="K7" s="6"/>
      <c r="L7" s="6"/>
      <c r="M7" s="6"/>
      <c r="N7" s="6"/>
      <c r="O7" s="6">
        <v>559800</v>
      </c>
    </row>
    <row r="8" spans="1:15">
      <c r="A8" t="s">
        <v>32</v>
      </c>
      <c r="B8" s="6">
        <v>174340</v>
      </c>
      <c r="C8" s="6"/>
      <c r="D8" s="6"/>
      <c r="E8" s="6">
        <v>2557515</v>
      </c>
      <c r="F8" s="6">
        <v>83074</v>
      </c>
      <c r="G8" s="6"/>
      <c r="H8" s="6"/>
      <c r="I8" s="6">
        <v>1623751</v>
      </c>
      <c r="J8" s="6"/>
      <c r="K8" s="6"/>
      <c r="L8" s="6">
        <v>841100</v>
      </c>
      <c r="M8" s="6"/>
      <c r="N8" s="6">
        <v>373112</v>
      </c>
      <c r="O8" s="6">
        <v>5652892</v>
      </c>
    </row>
    <row r="9" spans="1:15">
      <c r="A9" t="s">
        <v>46</v>
      </c>
      <c r="B9" s="6"/>
      <c r="C9" s="6">
        <v>181376</v>
      </c>
      <c r="D9" s="6">
        <v>1076172</v>
      </c>
      <c r="E9" s="6"/>
      <c r="F9" s="6"/>
      <c r="G9" s="6"/>
      <c r="H9" s="6"/>
      <c r="I9" s="6"/>
      <c r="J9" s="6"/>
      <c r="K9" s="6"/>
      <c r="L9" s="6"/>
      <c r="M9" s="6"/>
      <c r="N9" s="6"/>
      <c r="O9" s="6">
        <v>1257548</v>
      </c>
    </row>
    <row r="10" spans="1:15">
      <c r="A10" t="s">
        <v>68</v>
      </c>
      <c r="B10" s="6"/>
      <c r="C10" s="6"/>
      <c r="D10" s="6"/>
      <c r="E10" s="6"/>
      <c r="F10" s="6"/>
      <c r="G10" s="6"/>
      <c r="H10" s="6">
        <v>185030</v>
      </c>
      <c r="I10" s="6"/>
      <c r="J10" s="6"/>
      <c r="K10" s="6"/>
      <c r="L10" s="6"/>
      <c r="M10" s="6">
        <v>301080</v>
      </c>
      <c r="N10" s="6"/>
      <c r="O10" s="6">
        <v>486110</v>
      </c>
    </row>
    <row r="11" spans="1:15">
      <c r="A11" t="s">
        <v>311</v>
      </c>
      <c r="B11" s="6">
        <v>174340</v>
      </c>
      <c r="C11" s="6">
        <v>181376</v>
      </c>
      <c r="D11" s="6">
        <v>1076172</v>
      </c>
      <c r="E11" s="6">
        <v>2557515</v>
      </c>
      <c r="F11" s="6">
        <v>83074</v>
      </c>
      <c r="G11" s="6">
        <v>559758</v>
      </c>
      <c r="H11" s="6">
        <v>744830</v>
      </c>
      <c r="I11" s="6">
        <v>1623751</v>
      </c>
      <c r="J11" s="6">
        <v>2629348</v>
      </c>
      <c r="K11" s="6">
        <v>124822</v>
      </c>
      <c r="L11" s="6">
        <v>841100</v>
      </c>
      <c r="M11" s="6">
        <v>301080</v>
      </c>
      <c r="N11" s="6">
        <v>373112</v>
      </c>
      <c r="O11" s="6">
        <v>11270278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CF90-6584-46A9-8CCF-3386C46F92FF}">
  <dimension ref="A1:B121"/>
  <sheetViews>
    <sheetView tabSelected="1" workbookViewId="0">
      <selection activeCell="D4" sqref="D4"/>
    </sheetView>
  </sheetViews>
  <sheetFormatPr defaultRowHeight="15"/>
  <cols>
    <col min="1" max="1" width="14.85546875" customWidth="1"/>
    <col min="2" max="2" width="18.140625" customWidth="1"/>
  </cols>
  <sheetData>
    <row r="1" spans="1:2">
      <c r="A1" s="8" t="s">
        <v>0</v>
      </c>
      <c r="B1" s="9" t="s">
        <v>12</v>
      </c>
    </row>
    <row r="2" spans="1:2">
      <c r="A2" s="10">
        <v>1</v>
      </c>
      <c r="B2" s="20">
        <v>83269</v>
      </c>
    </row>
    <row r="3" spans="1:2">
      <c r="A3" s="13">
        <v>2</v>
      </c>
      <c r="B3" s="21">
        <v>98185</v>
      </c>
    </row>
    <row r="4" spans="1:2">
      <c r="A4" s="10">
        <v>3</v>
      </c>
      <c r="B4" s="20">
        <v>63283</v>
      </c>
    </row>
    <row r="5" spans="1:2">
      <c r="A5" s="13">
        <v>4</v>
      </c>
      <c r="B5" s="21">
        <v>186556</v>
      </c>
    </row>
    <row r="6" spans="1:2">
      <c r="A6" s="10">
        <v>5</v>
      </c>
      <c r="B6" s="20">
        <v>125380</v>
      </c>
    </row>
    <row r="7" spans="1:2">
      <c r="A7" s="13">
        <v>6</v>
      </c>
      <c r="B7" s="21">
        <v>92650</v>
      </c>
    </row>
    <row r="8" spans="1:2">
      <c r="A8" s="10">
        <v>7</v>
      </c>
      <c r="B8" s="20">
        <v>70726</v>
      </c>
    </row>
    <row r="9" spans="1:2">
      <c r="A9" s="13">
        <v>8</v>
      </c>
      <c r="B9" s="21">
        <v>74200</v>
      </c>
    </row>
    <row r="10" spans="1:2">
      <c r="A10" s="10">
        <v>9</v>
      </c>
      <c r="B10" s="20">
        <v>92290</v>
      </c>
    </row>
    <row r="11" spans="1:2">
      <c r="A11" s="13">
        <v>10</v>
      </c>
      <c r="B11" s="21">
        <v>63283</v>
      </c>
    </row>
    <row r="12" spans="1:2">
      <c r="A12" s="10">
        <v>11</v>
      </c>
      <c r="B12" s="20">
        <v>97690</v>
      </c>
    </row>
    <row r="13" spans="1:2">
      <c r="A13" s="13">
        <v>12</v>
      </c>
      <c r="B13" s="21">
        <v>79600</v>
      </c>
    </row>
    <row r="14" spans="1:2">
      <c r="A14" s="10">
        <v>13</v>
      </c>
      <c r="B14" s="20">
        <v>83269</v>
      </c>
    </row>
    <row r="15" spans="1:2">
      <c r="A15" s="13">
        <v>14</v>
      </c>
      <c r="B15" s="21">
        <v>100420</v>
      </c>
    </row>
    <row r="16" spans="1:2">
      <c r="A16" s="10">
        <v>15</v>
      </c>
      <c r="B16" s="20">
        <v>79600</v>
      </c>
    </row>
    <row r="17" spans="1:2">
      <c r="A17" s="13">
        <v>16</v>
      </c>
      <c r="B17" s="21">
        <v>79600</v>
      </c>
    </row>
    <row r="18" spans="1:2">
      <c r="A18" s="10">
        <v>17</v>
      </c>
      <c r="B18" s="20">
        <v>56995</v>
      </c>
    </row>
    <row r="19" spans="1:2">
      <c r="A19" s="13">
        <v>18</v>
      </c>
      <c r="B19" s="21">
        <v>83200</v>
      </c>
    </row>
    <row r="20" spans="1:2">
      <c r="A20" s="10">
        <v>19</v>
      </c>
      <c r="B20" s="20">
        <v>127018</v>
      </c>
    </row>
    <row r="21" spans="1:2">
      <c r="A21" s="13">
        <v>20</v>
      </c>
      <c r="B21" s="21">
        <v>73000</v>
      </c>
    </row>
    <row r="22" spans="1:2">
      <c r="A22" s="10">
        <v>21</v>
      </c>
      <c r="B22" s="20">
        <v>114760</v>
      </c>
    </row>
    <row r="23" spans="1:2">
      <c r="A23" s="13">
        <v>22</v>
      </c>
      <c r="B23" s="21">
        <v>79600</v>
      </c>
    </row>
    <row r="24" spans="1:2">
      <c r="A24" s="10">
        <v>23</v>
      </c>
      <c r="B24" s="20">
        <v>125380</v>
      </c>
    </row>
    <row r="25" spans="1:2">
      <c r="A25" s="13">
        <v>24</v>
      </c>
      <c r="B25" s="21">
        <v>91996</v>
      </c>
    </row>
    <row r="26" spans="1:2">
      <c r="A26" s="10">
        <v>25</v>
      </c>
      <c r="B26" s="20">
        <v>127018</v>
      </c>
    </row>
    <row r="27" spans="1:2">
      <c r="A27" s="13">
        <v>26</v>
      </c>
      <c r="B27" s="21">
        <v>118900</v>
      </c>
    </row>
    <row r="28" spans="1:2">
      <c r="A28" s="10">
        <v>27</v>
      </c>
      <c r="B28" s="20">
        <v>105044</v>
      </c>
    </row>
    <row r="29" spans="1:2">
      <c r="A29" s="13">
        <v>28</v>
      </c>
      <c r="B29" s="21">
        <v>66760</v>
      </c>
    </row>
    <row r="30" spans="1:2">
      <c r="A30" s="10">
        <v>29</v>
      </c>
      <c r="B30" s="20">
        <v>118900</v>
      </c>
    </row>
    <row r="31" spans="1:2">
      <c r="A31" s="13">
        <v>30</v>
      </c>
      <c r="B31" s="21">
        <v>114760</v>
      </c>
    </row>
    <row r="32" spans="1:2">
      <c r="A32" s="10">
        <v>31</v>
      </c>
      <c r="B32" s="20">
        <v>83200</v>
      </c>
    </row>
    <row r="33" spans="1:2">
      <c r="A33" s="13">
        <v>32</v>
      </c>
      <c r="B33" s="21">
        <v>174340</v>
      </c>
    </row>
    <row r="34" spans="1:2">
      <c r="A34" s="10">
        <v>33</v>
      </c>
      <c r="B34" s="20">
        <v>118330</v>
      </c>
    </row>
    <row r="35" spans="1:2">
      <c r="A35" s="13">
        <v>34</v>
      </c>
      <c r="B35" s="21">
        <v>108976</v>
      </c>
    </row>
    <row r="36" spans="1:2">
      <c r="A36" s="10">
        <v>35</v>
      </c>
      <c r="B36" s="20">
        <v>80185</v>
      </c>
    </row>
    <row r="37" spans="1:2">
      <c r="A37" s="13">
        <v>36</v>
      </c>
      <c r="B37" s="21">
        <v>73750</v>
      </c>
    </row>
    <row r="38" spans="1:2">
      <c r="A38" s="10">
        <v>37</v>
      </c>
      <c r="B38" s="20">
        <v>113680</v>
      </c>
    </row>
    <row r="39" spans="1:2">
      <c r="A39" s="13">
        <v>38</v>
      </c>
      <c r="B39" s="21">
        <v>83500</v>
      </c>
    </row>
    <row r="40" spans="1:2">
      <c r="A40" s="10">
        <v>39</v>
      </c>
      <c r="B40" s="20">
        <v>127900</v>
      </c>
    </row>
    <row r="41" spans="1:2">
      <c r="A41" s="13">
        <v>40</v>
      </c>
      <c r="B41" s="21">
        <v>100420</v>
      </c>
    </row>
    <row r="42" spans="1:2">
      <c r="A42" s="10">
        <v>41</v>
      </c>
      <c r="B42" s="20">
        <v>58990</v>
      </c>
    </row>
    <row r="43" spans="1:2">
      <c r="A43" s="13">
        <v>42</v>
      </c>
      <c r="B43" s="21">
        <v>73720</v>
      </c>
    </row>
    <row r="44" spans="1:2">
      <c r="A44" s="10">
        <v>43</v>
      </c>
      <c r="B44" s="20">
        <v>63130</v>
      </c>
    </row>
    <row r="45" spans="1:2">
      <c r="A45" s="13">
        <v>44</v>
      </c>
      <c r="B45" s="21">
        <v>73720</v>
      </c>
    </row>
    <row r="46" spans="1:2">
      <c r="A46" s="10">
        <v>45</v>
      </c>
      <c r="B46" s="20">
        <v>136000</v>
      </c>
    </row>
    <row r="47" spans="1:2">
      <c r="A47" s="13">
        <v>46</v>
      </c>
      <c r="B47" s="21">
        <v>103240</v>
      </c>
    </row>
    <row r="48" spans="1:2">
      <c r="A48" s="10">
        <v>47</v>
      </c>
      <c r="B48" s="20">
        <v>73750</v>
      </c>
    </row>
    <row r="49" spans="1:2">
      <c r="A49" s="13">
        <v>48</v>
      </c>
      <c r="B49" s="21">
        <v>113680</v>
      </c>
    </row>
    <row r="50" spans="1:2">
      <c r="A50" s="10">
        <v>49</v>
      </c>
      <c r="B50" s="20">
        <v>103240</v>
      </c>
    </row>
    <row r="51" spans="1:2">
      <c r="A51" s="13">
        <v>50</v>
      </c>
      <c r="B51" s="21">
        <v>66700</v>
      </c>
    </row>
    <row r="52" spans="1:2">
      <c r="A52" s="10">
        <v>51</v>
      </c>
      <c r="B52" s="20">
        <v>86500</v>
      </c>
    </row>
    <row r="53" spans="1:2">
      <c r="A53" s="13">
        <v>52</v>
      </c>
      <c r="B53" s="21">
        <v>83500</v>
      </c>
    </row>
    <row r="54" spans="1:2">
      <c r="A54" s="10">
        <v>53</v>
      </c>
      <c r="B54" s="20">
        <v>92650</v>
      </c>
    </row>
    <row r="55" spans="1:2">
      <c r="A55" s="13">
        <v>54</v>
      </c>
      <c r="B55" s="21">
        <v>73000</v>
      </c>
    </row>
    <row r="56" spans="1:2">
      <c r="A56" s="10">
        <v>55</v>
      </c>
      <c r="B56" s="20">
        <v>75400</v>
      </c>
    </row>
    <row r="57" spans="1:2">
      <c r="A57" s="13">
        <v>56</v>
      </c>
      <c r="B57" s="21">
        <v>186556</v>
      </c>
    </row>
    <row r="58" spans="1:2">
      <c r="A58" s="10">
        <v>57</v>
      </c>
      <c r="B58" s="20">
        <v>94720</v>
      </c>
    </row>
    <row r="59" spans="1:2">
      <c r="A59" s="13">
        <v>58</v>
      </c>
      <c r="B59" s="21">
        <v>154780</v>
      </c>
    </row>
    <row r="60" spans="1:2">
      <c r="A60" s="10">
        <v>59</v>
      </c>
      <c r="B60" s="20">
        <v>83074</v>
      </c>
    </row>
    <row r="61" spans="1:2">
      <c r="A61" s="13">
        <v>60</v>
      </c>
      <c r="B61" s="21">
        <v>63130</v>
      </c>
    </row>
    <row r="62" spans="1:2">
      <c r="A62" s="10">
        <v>61</v>
      </c>
      <c r="B62" s="20">
        <v>94729</v>
      </c>
    </row>
    <row r="63" spans="1:2">
      <c r="A63" s="13">
        <v>62</v>
      </c>
      <c r="B63" s="21">
        <v>97690</v>
      </c>
    </row>
    <row r="64" spans="1:2">
      <c r="A64" s="10">
        <v>63</v>
      </c>
      <c r="B64" s="20">
        <v>51940</v>
      </c>
    </row>
    <row r="65" spans="1:2">
      <c r="A65" s="13">
        <v>64</v>
      </c>
      <c r="B65" s="21">
        <v>56995</v>
      </c>
    </row>
    <row r="66" spans="1:2">
      <c r="A66" s="10">
        <v>65</v>
      </c>
      <c r="B66" s="20">
        <v>62920</v>
      </c>
    </row>
    <row r="67" spans="1:2">
      <c r="A67" s="13">
        <v>66</v>
      </c>
      <c r="B67" s="21">
        <v>124822</v>
      </c>
    </row>
    <row r="68" spans="1:2">
      <c r="A68" s="10">
        <v>67</v>
      </c>
      <c r="B68" s="20">
        <v>62920</v>
      </c>
    </row>
    <row r="69" spans="1:2">
      <c r="A69" s="13">
        <v>68</v>
      </c>
      <c r="B69" s="21">
        <v>148864</v>
      </c>
    </row>
    <row r="70" spans="1:2">
      <c r="A70" s="10">
        <v>69</v>
      </c>
      <c r="B70" s="20">
        <v>76018</v>
      </c>
    </row>
    <row r="71" spans="1:2">
      <c r="A71" s="13">
        <v>70</v>
      </c>
      <c r="B71" s="21">
        <v>120250</v>
      </c>
    </row>
    <row r="72" spans="1:2">
      <c r="A72" s="10">
        <v>71</v>
      </c>
      <c r="B72" s="20">
        <v>86500</v>
      </c>
    </row>
    <row r="73" spans="1:2">
      <c r="A73" s="13">
        <v>72</v>
      </c>
      <c r="B73" s="21">
        <v>108976</v>
      </c>
    </row>
    <row r="74" spans="1:2">
      <c r="A74" s="10">
        <v>73</v>
      </c>
      <c r="B74" s="20">
        <v>88726</v>
      </c>
    </row>
    <row r="75" spans="1:2">
      <c r="A75" s="13">
        <v>74</v>
      </c>
      <c r="B75" s="21">
        <v>120100</v>
      </c>
    </row>
    <row r="76" spans="1:2">
      <c r="A76" s="10">
        <v>75</v>
      </c>
      <c r="B76" s="20">
        <v>116440</v>
      </c>
    </row>
    <row r="77" spans="1:2">
      <c r="A77" s="13">
        <v>76</v>
      </c>
      <c r="B77" s="21">
        <v>70726</v>
      </c>
    </row>
    <row r="78" spans="1:2">
      <c r="A78" s="10">
        <v>77</v>
      </c>
      <c r="B78" s="20">
        <v>76018</v>
      </c>
    </row>
    <row r="79" spans="1:2">
      <c r="A79" s="13">
        <v>78</v>
      </c>
      <c r="B79" s="21">
        <v>66760</v>
      </c>
    </row>
    <row r="80" spans="1:2">
      <c r="A80" s="10">
        <v>79</v>
      </c>
      <c r="B80" s="20">
        <v>116440</v>
      </c>
    </row>
    <row r="81" spans="1:2">
      <c r="A81" s="13">
        <v>80</v>
      </c>
      <c r="B81" s="21">
        <v>53254</v>
      </c>
    </row>
    <row r="82" spans="1:2">
      <c r="A82" s="10">
        <v>81</v>
      </c>
      <c r="B82" s="20">
        <v>154780</v>
      </c>
    </row>
    <row r="83" spans="1:2">
      <c r="A83" s="13">
        <v>82</v>
      </c>
      <c r="B83" s="21">
        <v>73900</v>
      </c>
    </row>
    <row r="84" spans="1:2">
      <c r="A84" s="10">
        <v>83</v>
      </c>
      <c r="B84" s="20">
        <v>120100</v>
      </c>
    </row>
    <row r="85" spans="1:2">
      <c r="A85" s="13">
        <v>84</v>
      </c>
      <c r="B85" s="21">
        <v>75400</v>
      </c>
    </row>
    <row r="86" spans="1:2">
      <c r="A86" s="10">
        <v>85</v>
      </c>
      <c r="B86" s="20">
        <v>76120</v>
      </c>
    </row>
    <row r="87" spans="1:2">
      <c r="A87" s="13">
        <v>86</v>
      </c>
      <c r="B87" s="21">
        <v>59944</v>
      </c>
    </row>
    <row r="88" spans="1:2">
      <c r="A88" s="10">
        <v>87</v>
      </c>
      <c r="B88" s="20">
        <v>94729</v>
      </c>
    </row>
    <row r="89" spans="1:2">
      <c r="A89" s="13">
        <v>88</v>
      </c>
      <c r="B89" s="21">
        <v>73900</v>
      </c>
    </row>
    <row r="90" spans="1:2">
      <c r="A90" s="10">
        <v>89</v>
      </c>
      <c r="B90" s="20">
        <v>58990</v>
      </c>
    </row>
    <row r="91" spans="1:2">
      <c r="A91" s="13">
        <v>90</v>
      </c>
      <c r="B91" s="21">
        <v>84316</v>
      </c>
    </row>
    <row r="92" spans="1:2">
      <c r="A92" s="10">
        <v>91</v>
      </c>
      <c r="B92" s="20">
        <v>76120</v>
      </c>
    </row>
    <row r="93" spans="1:2">
      <c r="A93" s="13">
        <v>92</v>
      </c>
      <c r="B93" s="21">
        <v>125044</v>
      </c>
    </row>
    <row r="94" spans="1:2">
      <c r="A94" s="10">
        <v>93</v>
      </c>
      <c r="B94" s="20">
        <v>73930</v>
      </c>
    </row>
    <row r="95" spans="1:2">
      <c r="A95" s="13">
        <v>94</v>
      </c>
      <c r="B95" s="21">
        <v>81838</v>
      </c>
    </row>
    <row r="96" spans="1:2">
      <c r="A96" s="10">
        <v>95</v>
      </c>
      <c r="B96" s="20">
        <v>120250</v>
      </c>
    </row>
    <row r="97" spans="1:2">
      <c r="A97" s="13">
        <v>96</v>
      </c>
      <c r="B97" s="21">
        <v>174340</v>
      </c>
    </row>
    <row r="98" spans="1:2">
      <c r="A98" s="10">
        <v>97</v>
      </c>
      <c r="B98" s="20">
        <v>51940</v>
      </c>
    </row>
    <row r="99" spans="1:2">
      <c r="A99" s="13">
        <v>98</v>
      </c>
      <c r="B99" s="21">
        <v>73930</v>
      </c>
    </row>
    <row r="100" spans="1:2">
      <c r="A100" s="10">
        <v>99</v>
      </c>
      <c r="B100" s="20">
        <v>118330</v>
      </c>
    </row>
    <row r="101" spans="1:2">
      <c r="A101" s="13">
        <v>100</v>
      </c>
      <c r="B101" s="21">
        <v>94720</v>
      </c>
    </row>
    <row r="102" spans="1:2">
      <c r="A102" s="10">
        <v>101</v>
      </c>
      <c r="B102" s="20">
        <v>68864</v>
      </c>
    </row>
    <row r="103" spans="1:2">
      <c r="A103" s="13">
        <v>102</v>
      </c>
      <c r="B103" s="21">
        <v>76600</v>
      </c>
    </row>
    <row r="104" spans="1:2">
      <c r="A104" s="10">
        <v>103</v>
      </c>
      <c r="B104" s="20">
        <v>84316</v>
      </c>
    </row>
    <row r="105" spans="1:2">
      <c r="A105" s="13">
        <v>104</v>
      </c>
      <c r="B105" s="21">
        <v>76600</v>
      </c>
    </row>
    <row r="106" spans="1:2">
      <c r="A106" s="10">
        <v>105</v>
      </c>
      <c r="B106" s="20">
        <v>127900</v>
      </c>
    </row>
    <row r="107" spans="1:2">
      <c r="A107" s="13">
        <v>106</v>
      </c>
      <c r="B107" s="21">
        <v>136000</v>
      </c>
    </row>
    <row r="108" spans="1:2">
      <c r="A108" s="10">
        <v>107</v>
      </c>
      <c r="B108" s="20">
        <v>53650</v>
      </c>
    </row>
    <row r="109" spans="1:2">
      <c r="A109" s="13">
        <v>108</v>
      </c>
      <c r="B109" s="21">
        <v>81838</v>
      </c>
    </row>
    <row r="110" spans="1:2">
      <c r="A110" s="10">
        <v>109</v>
      </c>
      <c r="B110" s="20">
        <v>66700</v>
      </c>
    </row>
    <row r="111" spans="1:2">
      <c r="A111" s="13">
        <v>110</v>
      </c>
      <c r="B111" s="21">
        <v>138010</v>
      </c>
    </row>
    <row r="112" spans="1:2">
      <c r="A112" s="10">
        <v>111</v>
      </c>
      <c r="B112" s="20">
        <v>91996</v>
      </c>
    </row>
    <row r="113" spans="1:2">
      <c r="A113" s="13">
        <v>112</v>
      </c>
      <c r="B113" s="21">
        <v>92290</v>
      </c>
    </row>
    <row r="114" spans="1:2">
      <c r="A114" s="10">
        <v>113</v>
      </c>
      <c r="B114" s="20">
        <v>74200</v>
      </c>
    </row>
    <row r="115" spans="1:2">
      <c r="A115" s="13">
        <v>114</v>
      </c>
      <c r="B115" s="21">
        <v>88726</v>
      </c>
    </row>
    <row r="116" spans="1:2">
      <c r="A116" s="10">
        <v>115</v>
      </c>
      <c r="B116" s="20">
        <v>53650</v>
      </c>
    </row>
    <row r="117" spans="1:2">
      <c r="A117" s="13">
        <v>116</v>
      </c>
      <c r="B117" s="21">
        <v>53254</v>
      </c>
    </row>
    <row r="118" spans="1:2">
      <c r="A118" s="10">
        <v>117</v>
      </c>
      <c r="B118" s="20">
        <v>83074</v>
      </c>
    </row>
    <row r="119" spans="1:2">
      <c r="A119" s="13">
        <v>118</v>
      </c>
      <c r="B119" s="21">
        <v>124822</v>
      </c>
    </row>
    <row r="120" spans="1:2">
      <c r="A120" s="10">
        <v>119</v>
      </c>
      <c r="B120" s="20">
        <v>138010</v>
      </c>
    </row>
    <row r="121" spans="1:2">
      <c r="A121" s="13">
        <v>120</v>
      </c>
      <c r="B121" s="21">
        <v>98976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9FD2-5C72-4D30-AC83-CC17758E5D26}">
  <dimension ref="A1:E121"/>
  <sheetViews>
    <sheetView workbookViewId="0">
      <selection activeCell="F1" sqref="F1"/>
    </sheetView>
  </sheetViews>
  <sheetFormatPr defaultRowHeight="15"/>
  <cols>
    <col min="2" max="2" width="16.42578125" customWidth="1"/>
    <col min="3" max="3" width="16" customWidth="1"/>
    <col min="4" max="4" width="20.5703125" customWidth="1"/>
    <col min="5" max="5" width="21.28515625" customWidth="1"/>
  </cols>
  <sheetData>
    <row r="1" spans="1: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10">
        <v>1</v>
      </c>
      <c r="B2" s="11" t="s">
        <v>15</v>
      </c>
      <c r="C2" s="11" t="s">
        <v>16</v>
      </c>
      <c r="D2" s="12">
        <v>34902</v>
      </c>
      <c r="E2" s="11" t="s">
        <v>17</v>
      </c>
    </row>
    <row r="3" spans="1:5">
      <c r="A3" s="13">
        <v>2</v>
      </c>
      <c r="B3" s="14" t="s">
        <v>23</v>
      </c>
      <c r="C3" s="14" t="s">
        <v>24</v>
      </c>
      <c r="D3" s="15">
        <v>35318</v>
      </c>
      <c r="E3" s="14" t="s">
        <v>25</v>
      </c>
    </row>
    <row r="4" spans="1:5">
      <c r="A4" s="10">
        <v>3</v>
      </c>
      <c r="B4" s="11" t="s">
        <v>23</v>
      </c>
      <c r="C4" s="11" t="s">
        <v>29</v>
      </c>
      <c r="D4" s="12">
        <v>28958</v>
      </c>
      <c r="E4" s="11" t="s">
        <v>30</v>
      </c>
    </row>
    <row r="5" spans="1:5">
      <c r="A5" s="13">
        <v>4</v>
      </c>
      <c r="B5" s="14" t="s">
        <v>34</v>
      </c>
      <c r="C5" s="14" t="s">
        <v>24</v>
      </c>
      <c r="D5" s="15">
        <v>33293</v>
      </c>
      <c r="E5" s="14" t="s">
        <v>35</v>
      </c>
    </row>
    <row r="6" spans="1:5">
      <c r="A6" s="10">
        <v>5</v>
      </c>
      <c r="B6" s="11" t="s">
        <v>34</v>
      </c>
      <c r="C6" s="11" t="s">
        <v>39</v>
      </c>
      <c r="D6" s="12">
        <v>31896</v>
      </c>
      <c r="E6" s="11" t="s">
        <v>35</v>
      </c>
    </row>
    <row r="7" spans="1:5">
      <c r="A7" s="13">
        <v>6</v>
      </c>
      <c r="B7" s="14" t="s">
        <v>42</v>
      </c>
      <c r="C7" s="14" t="s">
        <v>43</v>
      </c>
      <c r="D7" s="15">
        <v>28874</v>
      </c>
      <c r="E7" s="14" t="s">
        <v>44</v>
      </c>
    </row>
    <row r="8" spans="1:5">
      <c r="A8" s="10">
        <v>7</v>
      </c>
      <c r="B8" s="11" t="s">
        <v>48</v>
      </c>
      <c r="C8" s="11" t="s">
        <v>49</v>
      </c>
      <c r="D8" s="12">
        <v>27895</v>
      </c>
      <c r="E8" s="11" t="s">
        <v>50</v>
      </c>
    </row>
    <row r="9" spans="1:5">
      <c r="A9" s="13">
        <v>8</v>
      </c>
      <c r="B9" s="14" t="s">
        <v>52</v>
      </c>
      <c r="C9" s="14" t="s">
        <v>53</v>
      </c>
      <c r="D9" s="15">
        <v>26913</v>
      </c>
      <c r="E9" s="14" t="s">
        <v>54</v>
      </c>
    </row>
    <row r="10" spans="1:5">
      <c r="A10" s="10">
        <v>9</v>
      </c>
      <c r="B10" s="11" t="s">
        <v>56</v>
      </c>
      <c r="C10" s="11" t="s">
        <v>57</v>
      </c>
      <c r="D10" s="12">
        <v>28785</v>
      </c>
      <c r="E10" s="11" t="s">
        <v>58</v>
      </c>
    </row>
    <row r="11" spans="1:5">
      <c r="A11" s="13">
        <v>10</v>
      </c>
      <c r="B11" s="14" t="s">
        <v>60</v>
      </c>
      <c r="C11" s="14" t="s">
        <v>61</v>
      </c>
      <c r="D11" s="15">
        <v>28240</v>
      </c>
      <c r="E11" s="14" t="s">
        <v>25</v>
      </c>
    </row>
    <row r="12" spans="1:5">
      <c r="A12" s="10">
        <v>11</v>
      </c>
      <c r="B12" s="11" t="s">
        <v>62</v>
      </c>
      <c r="C12" s="11" t="s">
        <v>63</v>
      </c>
      <c r="D12" s="12">
        <v>26501</v>
      </c>
      <c r="E12" s="11" t="s">
        <v>54</v>
      </c>
    </row>
    <row r="13" spans="1:5">
      <c r="A13" s="13">
        <v>12</v>
      </c>
      <c r="B13" s="14" t="s">
        <v>65</v>
      </c>
      <c r="C13" s="14" t="s">
        <v>66</v>
      </c>
      <c r="D13" s="15">
        <v>30399</v>
      </c>
      <c r="E13" s="14" t="s">
        <v>67</v>
      </c>
    </row>
    <row r="14" spans="1:5">
      <c r="A14" s="10">
        <v>13</v>
      </c>
      <c r="B14" s="11" t="s">
        <v>70</v>
      </c>
      <c r="C14" s="11" t="s">
        <v>71</v>
      </c>
      <c r="D14" s="12">
        <v>29465</v>
      </c>
      <c r="E14" s="11" t="s">
        <v>18</v>
      </c>
    </row>
    <row r="15" spans="1:5">
      <c r="A15" s="13">
        <v>14</v>
      </c>
      <c r="B15" s="14" t="s">
        <v>72</v>
      </c>
      <c r="C15" s="14" t="s">
        <v>73</v>
      </c>
      <c r="D15" s="15">
        <v>30626</v>
      </c>
      <c r="E15" s="14" t="s">
        <v>74</v>
      </c>
    </row>
    <row r="16" spans="1:5">
      <c r="A16" s="10">
        <v>15</v>
      </c>
      <c r="B16" s="11" t="s">
        <v>75</v>
      </c>
      <c r="C16" s="11" t="s">
        <v>76</v>
      </c>
      <c r="D16" s="12">
        <v>28234</v>
      </c>
      <c r="E16" s="11" t="s">
        <v>77</v>
      </c>
    </row>
    <row r="17" spans="1:5">
      <c r="A17" s="13">
        <v>16</v>
      </c>
      <c r="B17" s="14" t="s">
        <v>79</v>
      </c>
      <c r="C17" s="14" t="s">
        <v>80</v>
      </c>
      <c r="D17" s="15">
        <v>28187</v>
      </c>
      <c r="E17" s="14" t="s">
        <v>25</v>
      </c>
    </row>
    <row r="18" spans="1:5">
      <c r="A18" s="10">
        <v>17</v>
      </c>
      <c r="B18" s="11" t="s">
        <v>82</v>
      </c>
      <c r="C18" s="11" t="s">
        <v>83</v>
      </c>
      <c r="D18" s="12">
        <v>26227</v>
      </c>
      <c r="E18" s="11" t="s">
        <v>25</v>
      </c>
    </row>
    <row r="19" spans="1:5">
      <c r="A19" s="13">
        <v>18</v>
      </c>
      <c r="B19" s="14" t="s">
        <v>84</v>
      </c>
      <c r="C19" s="14" t="s">
        <v>85</v>
      </c>
      <c r="D19" s="15">
        <v>30718</v>
      </c>
      <c r="E19" s="14" t="s">
        <v>54</v>
      </c>
    </row>
    <row r="20" spans="1:5">
      <c r="A20" s="10">
        <v>19</v>
      </c>
      <c r="B20" s="11" t="s">
        <v>84</v>
      </c>
      <c r="C20" s="11" t="s">
        <v>89</v>
      </c>
      <c r="D20" s="12">
        <v>29537</v>
      </c>
      <c r="E20" s="11" t="s">
        <v>90</v>
      </c>
    </row>
    <row r="21" spans="1:5">
      <c r="A21" s="13">
        <v>20</v>
      </c>
      <c r="B21" s="14" t="s">
        <v>91</v>
      </c>
      <c r="C21" s="14" t="s">
        <v>92</v>
      </c>
      <c r="D21" s="15">
        <v>30399</v>
      </c>
      <c r="E21" s="14" t="s">
        <v>93</v>
      </c>
    </row>
    <row r="22" spans="1:5">
      <c r="A22" s="10">
        <v>21</v>
      </c>
      <c r="B22" s="11" t="s">
        <v>95</v>
      </c>
      <c r="C22" s="11" t="s">
        <v>96</v>
      </c>
      <c r="D22" s="12">
        <v>27812</v>
      </c>
      <c r="E22" s="11" t="s">
        <v>97</v>
      </c>
    </row>
    <row r="23" spans="1:5">
      <c r="A23" s="13">
        <v>22</v>
      </c>
      <c r="B23" s="14" t="s">
        <v>98</v>
      </c>
      <c r="C23" s="14" t="s">
        <v>99</v>
      </c>
      <c r="D23" s="15">
        <v>24065</v>
      </c>
      <c r="E23" s="14" t="s">
        <v>26</v>
      </c>
    </row>
    <row r="24" spans="1:5">
      <c r="A24" s="10">
        <v>23</v>
      </c>
      <c r="B24" s="11" t="s">
        <v>100</v>
      </c>
      <c r="C24" s="11" t="s">
        <v>101</v>
      </c>
      <c r="D24" s="12">
        <v>27648</v>
      </c>
      <c r="E24" s="11" t="s">
        <v>25</v>
      </c>
    </row>
    <row r="25" spans="1:5">
      <c r="A25" s="13">
        <v>24</v>
      </c>
      <c r="B25" s="14" t="s">
        <v>102</v>
      </c>
      <c r="C25" s="14" t="s">
        <v>103</v>
      </c>
      <c r="D25" s="15">
        <v>28122</v>
      </c>
      <c r="E25" s="14" t="s">
        <v>25</v>
      </c>
    </row>
    <row r="26" spans="1:5">
      <c r="A26" s="10">
        <v>25</v>
      </c>
      <c r="B26" s="11" t="s">
        <v>104</v>
      </c>
      <c r="C26" s="11" t="s">
        <v>63</v>
      </c>
      <c r="D26" s="12">
        <v>34652</v>
      </c>
      <c r="E26" s="11" t="s">
        <v>105</v>
      </c>
    </row>
    <row r="27" spans="1:5">
      <c r="A27" s="13">
        <v>26</v>
      </c>
      <c r="B27" s="14" t="s">
        <v>106</v>
      </c>
      <c r="C27" s="14" t="s">
        <v>107</v>
      </c>
      <c r="D27" s="15">
        <v>34357</v>
      </c>
      <c r="E27" s="14" t="s">
        <v>108</v>
      </c>
    </row>
    <row r="28" spans="1:5">
      <c r="A28" s="10">
        <v>27</v>
      </c>
      <c r="B28" s="11" t="s">
        <v>109</v>
      </c>
      <c r="C28" s="11" t="s">
        <v>110</v>
      </c>
      <c r="D28" s="12">
        <v>26553</v>
      </c>
      <c r="E28" s="11" t="s">
        <v>111</v>
      </c>
    </row>
    <row r="29" spans="1:5">
      <c r="A29" s="13">
        <v>28</v>
      </c>
      <c r="B29" s="14" t="s">
        <v>112</v>
      </c>
      <c r="C29" s="14" t="s">
        <v>113</v>
      </c>
      <c r="D29" s="15">
        <v>29207</v>
      </c>
      <c r="E29" s="14" t="s">
        <v>114</v>
      </c>
    </row>
    <row r="30" spans="1:5">
      <c r="A30" s="10">
        <v>29</v>
      </c>
      <c r="B30" s="11" t="s">
        <v>115</v>
      </c>
      <c r="C30" s="11" t="s">
        <v>113</v>
      </c>
      <c r="D30" s="12">
        <v>26952</v>
      </c>
      <c r="E30" s="11" t="s">
        <v>116</v>
      </c>
    </row>
    <row r="31" spans="1:5">
      <c r="A31" s="13">
        <v>30</v>
      </c>
      <c r="B31" s="14" t="s">
        <v>117</v>
      </c>
      <c r="C31" s="14" t="s">
        <v>118</v>
      </c>
      <c r="D31" s="15">
        <v>27049</v>
      </c>
      <c r="E31" s="14" t="s">
        <v>119</v>
      </c>
    </row>
    <row r="32" spans="1:5">
      <c r="A32" s="10">
        <v>31</v>
      </c>
      <c r="B32" s="11" t="s">
        <v>120</v>
      </c>
      <c r="C32" s="11" t="s">
        <v>121</v>
      </c>
      <c r="D32" s="12">
        <v>28186</v>
      </c>
      <c r="E32" s="11" t="s">
        <v>25</v>
      </c>
    </row>
    <row r="33" spans="1:5">
      <c r="A33" s="13">
        <v>32</v>
      </c>
      <c r="B33" s="14" t="s">
        <v>123</v>
      </c>
      <c r="C33" s="14" t="s">
        <v>92</v>
      </c>
      <c r="D33" s="15">
        <v>31869</v>
      </c>
      <c r="E33" s="14" t="s">
        <v>18</v>
      </c>
    </row>
    <row r="34" spans="1:5">
      <c r="A34" s="10">
        <v>33</v>
      </c>
      <c r="B34" s="11" t="s">
        <v>125</v>
      </c>
      <c r="C34" s="11" t="s">
        <v>126</v>
      </c>
      <c r="D34" s="12">
        <v>31150</v>
      </c>
      <c r="E34" s="11" t="s">
        <v>93</v>
      </c>
    </row>
    <row r="35" spans="1:5">
      <c r="A35" s="13">
        <v>34</v>
      </c>
      <c r="B35" s="14" t="s">
        <v>128</v>
      </c>
      <c r="C35" s="14" t="s">
        <v>129</v>
      </c>
      <c r="D35" s="15">
        <v>36127</v>
      </c>
      <c r="E35" s="14" t="s">
        <v>130</v>
      </c>
    </row>
    <row r="36" spans="1:5">
      <c r="A36" s="10">
        <v>35</v>
      </c>
      <c r="B36" s="11" t="s">
        <v>132</v>
      </c>
      <c r="C36" s="11" t="s">
        <v>133</v>
      </c>
      <c r="D36" s="12">
        <v>23849</v>
      </c>
      <c r="E36" s="11" t="s">
        <v>134</v>
      </c>
    </row>
    <row r="37" spans="1:5">
      <c r="A37" s="13">
        <v>36</v>
      </c>
      <c r="B37" s="14" t="s">
        <v>132</v>
      </c>
      <c r="C37" s="14" t="s">
        <v>135</v>
      </c>
      <c r="D37" s="15">
        <v>26214</v>
      </c>
      <c r="E37" s="14" t="s">
        <v>26</v>
      </c>
    </row>
    <row r="38" spans="1:5">
      <c r="A38" s="10">
        <v>37</v>
      </c>
      <c r="B38" s="11" t="s">
        <v>132</v>
      </c>
      <c r="C38" s="11" t="s">
        <v>29</v>
      </c>
      <c r="D38" s="12">
        <v>27997</v>
      </c>
      <c r="E38" s="11" t="s">
        <v>136</v>
      </c>
    </row>
    <row r="39" spans="1:5">
      <c r="A39" s="13">
        <v>38</v>
      </c>
      <c r="B39" s="14" t="s">
        <v>137</v>
      </c>
      <c r="C39" s="14" t="s">
        <v>24</v>
      </c>
      <c r="D39" s="15">
        <v>28093</v>
      </c>
      <c r="E39" s="14" t="s">
        <v>138</v>
      </c>
    </row>
    <row r="40" spans="1:5">
      <c r="A40" s="10">
        <v>39</v>
      </c>
      <c r="B40" s="11" t="s">
        <v>140</v>
      </c>
      <c r="C40" s="11" t="s">
        <v>63</v>
      </c>
      <c r="D40" s="12">
        <v>27219</v>
      </c>
      <c r="E40" s="11" t="s">
        <v>25</v>
      </c>
    </row>
    <row r="41" spans="1:5">
      <c r="A41" s="13">
        <v>40</v>
      </c>
      <c r="B41" s="14" t="s">
        <v>143</v>
      </c>
      <c r="C41" s="14" t="s">
        <v>144</v>
      </c>
      <c r="D41" s="15">
        <v>26908</v>
      </c>
      <c r="E41" s="14" t="s">
        <v>145</v>
      </c>
    </row>
    <row r="42" spans="1:5">
      <c r="A42" s="10">
        <v>41</v>
      </c>
      <c r="B42" s="11" t="s">
        <v>147</v>
      </c>
      <c r="C42" s="11" t="s">
        <v>148</v>
      </c>
      <c r="D42" s="12">
        <v>27894</v>
      </c>
      <c r="E42" s="11" t="s">
        <v>122</v>
      </c>
    </row>
    <row r="43" spans="1:5">
      <c r="A43" s="13">
        <v>42</v>
      </c>
      <c r="B43" s="14" t="s">
        <v>147</v>
      </c>
      <c r="C43" s="14" t="s">
        <v>53</v>
      </c>
      <c r="D43" s="15">
        <v>21403</v>
      </c>
      <c r="E43" s="14" t="s">
        <v>150</v>
      </c>
    </row>
    <row r="44" spans="1:5">
      <c r="A44" s="10">
        <v>43</v>
      </c>
      <c r="B44" s="11" t="s">
        <v>151</v>
      </c>
      <c r="C44" s="11" t="s">
        <v>152</v>
      </c>
      <c r="D44" s="12">
        <v>29600</v>
      </c>
      <c r="E44" s="11" t="s">
        <v>25</v>
      </c>
    </row>
    <row r="45" spans="1:5">
      <c r="A45" s="13">
        <v>44</v>
      </c>
      <c r="B45" s="14" t="s">
        <v>153</v>
      </c>
      <c r="C45" s="14" t="s">
        <v>154</v>
      </c>
      <c r="D45" s="15">
        <v>28999</v>
      </c>
      <c r="E45" s="14" t="s">
        <v>155</v>
      </c>
    </row>
    <row r="46" spans="1:5">
      <c r="A46" s="10">
        <v>45</v>
      </c>
      <c r="B46" s="11" t="s">
        <v>156</v>
      </c>
      <c r="C46" s="11" t="s">
        <v>152</v>
      </c>
      <c r="D46" s="12">
        <v>27074</v>
      </c>
      <c r="E46" s="11" t="s">
        <v>157</v>
      </c>
    </row>
    <row r="47" spans="1:5">
      <c r="A47" s="13">
        <v>46</v>
      </c>
      <c r="B47" s="14" t="s">
        <v>159</v>
      </c>
      <c r="C47" s="14" t="s">
        <v>160</v>
      </c>
      <c r="D47" s="15">
        <v>27795</v>
      </c>
      <c r="E47" s="14" t="s">
        <v>25</v>
      </c>
    </row>
    <row r="48" spans="1:5">
      <c r="A48" s="10">
        <v>47</v>
      </c>
      <c r="B48" s="11" t="s">
        <v>159</v>
      </c>
      <c r="C48" s="11" t="s">
        <v>160</v>
      </c>
      <c r="D48" s="12">
        <v>30527</v>
      </c>
      <c r="E48" s="11" t="s">
        <v>161</v>
      </c>
    </row>
    <row r="49" spans="1:5">
      <c r="A49" s="13">
        <v>48</v>
      </c>
      <c r="B49" s="14" t="s">
        <v>162</v>
      </c>
      <c r="C49" s="14" t="s">
        <v>154</v>
      </c>
      <c r="D49" s="15">
        <v>29219</v>
      </c>
      <c r="E49" s="14" t="s">
        <v>25</v>
      </c>
    </row>
    <row r="50" spans="1:5">
      <c r="A50" s="10">
        <v>49</v>
      </c>
      <c r="B50" s="11" t="s">
        <v>164</v>
      </c>
      <c r="C50" s="11" t="s">
        <v>165</v>
      </c>
      <c r="D50" s="12">
        <v>33014</v>
      </c>
      <c r="E50" s="11" t="s">
        <v>166</v>
      </c>
    </row>
    <row r="51" spans="1:5">
      <c r="A51" s="13">
        <v>50</v>
      </c>
      <c r="B51" s="14" t="s">
        <v>167</v>
      </c>
      <c r="C51" s="14" t="s">
        <v>154</v>
      </c>
      <c r="D51" s="15">
        <v>21524</v>
      </c>
      <c r="E51" s="14" t="s">
        <v>168</v>
      </c>
    </row>
    <row r="52" spans="1:5">
      <c r="A52" s="10">
        <v>51</v>
      </c>
      <c r="B52" s="11" t="s">
        <v>169</v>
      </c>
      <c r="C52" s="11" t="s">
        <v>170</v>
      </c>
      <c r="D52" s="12">
        <v>29468</v>
      </c>
      <c r="E52" s="11" t="s">
        <v>146</v>
      </c>
    </row>
    <row r="53" spans="1:5">
      <c r="A53" s="13">
        <v>52</v>
      </c>
      <c r="B53" s="14" t="s">
        <v>169</v>
      </c>
      <c r="C53" s="14" t="s">
        <v>171</v>
      </c>
      <c r="D53" s="15">
        <v>28385</v>
      </c>
      <c r="E53" s="14" t="s">
        <v>172</v>
      </c>
    </row>
    <row r="54" spans="1:5">
      <c r="A54" s="10">
        <v>53</v>
      </c>
      <c r="B54" s="11" t="s">
        <v>173</v>
      </c>
      <c r="C54" s="11" t="s">
        <v>160</v>
      </c>
      <c r="D54" s="12">
        <v>29425</v>
      </c>
      <c r="E54" s="11" t="s">
        <v>150</v>
      </c>
    </row>
    <row r="55" spans="1:5">
      <c r="A55" s="13">
        <v>54</v>
      </c>
      <c r="B55" s="14" t="s">
        <v>175</v>
      </c>
      <c r="C55" s="14" t="s">
        <v>96</v>
      </c>
      <c r="D55" s="15">
        <v>36085</v>
      </c>
      <c r="E55" s="14" t="s">
        <v>176</v>
      </c>
    </row>
    <row r="56" spans="1:5">
      <c r="A56" s="10">
        <v>55</v>
      </c>
      <c r="B56" s="11" t="s">
        <v>177</v>
      </c>
      <c r="C56" s="11" t="s">
        <v>101</v>
      </c>
      <c r="D56" s="12">
        <v>27255</v>
      </c>
      <c r="E56" s="11" t="s">
        <v>178</v>
      </c>
    </row>
    <row r="57" spans="1:5">
      <c r="A57" s="13">
        <v>56</v>
      </c>
      <c r="B57" s="14" t="s">
        <v>177</v>
      </c>
      <c r="C57" s="14" t="s">
        <v>101</v>
      </c>
      <c r="D57" s="15">
        <v>26903</v>
      </c>
      <c r="E57" s="14" t="s">
        <v>176</v>
      </c>
    </row>
    <row r="58" spans="1:5">
      <c r="A58" s="10">
        <v>57</v>
      </c>
      <c r="B58" s="11" t="s">
        <v>179</v>
      </c>
      <c r="C58" s="11" t="s">
        <v>180</v>
      </c>
      <c r="D58" s="12">
        <v>26623</v>
      </c>
      <c r="E58" s="11" t="s">
        <v>181</v>
      </c>
    </row>
    <row r="59" spans="1:5">
      <c r="A59" s="13">
        <v>58</v>
      </c>
      <c r="B59" s="14" t="s">
        <v>182</v>
      </c>
      <c r="C59" s="14" t="s">
        <v>183</v>
      </c>
      <c r="D59" s="15">
        <v>34857</v>
      </c>
      <c r="E59" s="14" t="s">
        <v>86</v>
      </c>
    </row>
    <row r="60" spans="1:5">
      <c r="A60" s="10">
        <v>59</v>
      </c>
      <c r="B60" s="11" t="s">
        <v>184</v>
      </c>
      <c r="C60" s="11" t="s">
        <v>24</v>
      </c>
      <c r="D60" s="12">
        <v>28713</v>
      </c>
      <c r="E60" s="11" t="s">
        <v>185</v>
      </c>
    </row>
    <row r="61" spans="1:5">
      <c r="A61" s="13">
        <v>60</v>
      </c>
      <c r="B61" s="14" t="s">
        <v>186</v>
      </c>
      <c r="C61" s="14" t="s">
        <v>187</v>
      </c>
      <c r="D61" s="15">
        <v>36085</v>
      </c>
      <c r="E61" s="14" t="s">
        <v>35</v>
      </c>
    </row>
    <row r="62" spans="1:5">
      <c r="A62" s="10">
        <v>61</v>
      </c>
      <c r="B62" s="11" t="s">
        <v>188</v>
      </c>
      <c r="C62" s="11" t="s">
        <v>66</v>
      </c>
      <c r="D62" s="12">
        <v>27841</v>
      </c>
      <c r="E62" s="11" t="s">
        <v>25</v>
      </c>
    </row>
    <row r="63" spans="1:5">
      <c r="A63" s="13">
        <v>62</v>
      </c>
      <c r="B63" s="14" t="s">
        <v>189</v>
      </c>
      <c r="C63" s="14" t="s">
        <v>80</v>
      </c>
      <c r="D63" s="15">
        <v>21104</v>
      </c>
      <c r="E63" s="14" t="s">
        <v>30</v>
      </c>
    </row>
    <row r="64" spans="1:5">
      <c r="A64" s="10">
        <v>63</v>
      </c>
      <c r="B64" s="11" t="s">
        <v>190</v>
      </c>
      <c r="C64" s="11" t="s">
        <v>191</v>
      </c>
      <c r="D64" s="12">
        <v>34169</v>
      </c>
      <c r="E64" s="11" t="s">
        <v>192</v>
      </c>
    </row>
    <row r="65" spans="1:5">
      <c r="A65" s="13">
        <v>64</v>
      </c>
      <c r="B65" s="14" t="s">
        <v>193</v>
      </c>
      <c r="C65" s="14" t="s">
        <v>194</v>
      </c>
      <c r="D65" s="15">
        <v>35933</v>
      </c>
      <c r="E65" s="14" t="s">
        <v>195</v>
      </c>
    </row>
    <row r="66" spans="1:5">
      <c r="A66" s="10">
        <v>65</v>
      </c>
      <c r="B66" s="11" t="s">
        <v>196</v>
      </c>
      <c r="C66" s="11" t="s">
        <v>101</v>
      </c>
      <c r="D66" s="12">
        <v>26898</v>
      </c>
      <c r="E66" s="11" t="s">
        <v>25</v>
      </c>
    </row>
    <row r="67" spans="1:5">
      <c r="A67" s="13">
        <v>66</v>
      </c>
      <c r="B67" s="14" t="s">
        <v>197</v>
      </c>
      <c r="C67" s="14" t="s">
        <v>198</v>
      </c>
      <c r="D67" s="15">
        <v>28884</v>
      </c>
      <c r="E67" s="14" t="s">
        <v>199</v>
      </c>
    </row>
    <row r="68" spans="1:5">
      <c r="A68" s="10">
        <v>67</v>
      </c>
      <c r="B68" s="11" t="s">
        <v>200</v>
      </c>
      <c r="C68" s="11" t="s">
        <v>201</v>
      </c>
      <c r="D68" s="12">
        <v>27626</v>
      </c>
      <c r="E68" s="11" t="s">
        <v>26</v>
      </c>
    </row>
    <row r="69" spans="1:5">
      <c r="A69" s="13">
        <v>68</v>
      </c>
      <c r="B69" s="14" t="s">
        <v>202</v>
      </c>
      <c r="C69" s="14" t="s">
        <v>160</v>
      </c>
      <c r="D69" s="15">
        <v>28289</v>
      </c>
      <c r="E69" s="14" t="s">
        <v>203</v>
      </c>
    </row>
    <row r="70" spans="1:5">
      <c r="A70" s="10">
        <v>69</v>
      </c>
      <c r="B70" s="11" t="s">
        <v>202</v>
      </c>
      <c r="C70" s="11" t="s">
        <v>204</v>
      </c>
      <c r="D70" s="12">
        <v>35612</v>
      </c>
      <c r="E70" s="11" t="s">
        <v>205</v>
      </c>
    </row>
    <row r="71" spans="1:5">
      <c r="A71" s="13">
        <v>70</v>
      </c>
      <c r="B71" s="14" t="s">
        <v>206</v>
      </c>
      <c r="C71" s="14" t="s">
        <v>207</v>
      </c>
      <c r="D71" s="15">
        <v>29639</v>
      </c>
      <c r="E71" s="14" t="s">
        <v>208</v>
      </c>
    </row>
    <row r="72" spans="1:5">
      <c r="A72" s="10">
        <v>71</v>
      </c>
      <c r="B72" s="11" t="s">
        <v>209</v>
      </c>
      <c r="C72" s="11" t="s">
        <v>24</v>
      </c>
      <c r="D72" s="12">
        <v>30036</v>
      </c>
      <c r="E72" s="11" t="s">
        <v>163</v>
      </c>
    </row>
    <row r="73" spans="1:5">
      <c r="A73" s="13">
        <v>72</v>
      </c>
      <c r="B73" s="14" t="s">
        <v>210</v>
      </c>
      <c r="C73" s="14" t="s">
        <v>24</v>
      </c>
      <c r="D73" s="15">
        <v>27904</v>
      </c>
      <c r="E73" s="14" t="s">
        <v>25</v>
      </c>
    </row>
    <row r="74" spans="1:5">
      <c r="A74" s="10">
        <v>73</v>
      </c>
      <c r="B74" s="11" t="s">
        <v>211</v>
      </c>
      <c r="C74" s="11" t="s">
        <v>144</v>
      </c>
      <c r="D74" s="12">
        <v>27068</v>
      </c>
      <c r="E74" s="11" t="s">
        <v>40</v>
      </c>
    </row>
    <row r="75" spans="1:5">
      <c r="A75" s="13">
        <v>74</v>
      </c>
      <c r="B75" s="14" t="s">
        <v>212</v>
      </c>
      <c r="C75" s="14" t="s">
        <v>63</v>
      </c>
      <c r="D75" s="15">
        <v>27137</v>
      </c>
      <c r="E75" s="14" t="s">
        <v>213</v>
      </c>
    </row>
    <row r="76" spans="1:5">
      <c r="A76" s="10">
        <v>75</v>
      </c>
      <c r="B76" s="11" t="s">
        <v>214</v>
      </c>
      <c r="C76" s="11" t="s">
        <v>198</v>
      </c>
      <c r="D76" s="12">
        <v>26822</v>
      </c>
      <c r="E76" s="11" t="s">
        <v>58</v>
      </c>
    </row>
    <row r="77" spans="1:5">
      <c r="A77" s="13">
        <v>76</v>
      </c>
      <c r="B77" s="14" t="s">
        <v>215</v>
      </c>
      <c r="C77" s="14" t="s">
        <v>110</v>
      </c>
      <c r="D77" s="15">
        <v>28590</v>
      </c>
      <c r="E77" s="14" t="s">
        <v>25</v>
      </c>
    </row>
    <row r="78" spans="1:5">
      <c r="A78" s="10">
        <v>77</v>
      </c>
      <c r="B78" s="11" t="s">
        <v>216</v>
      </c>
      <c r="C78" s="11" t="s">
        <v>217</v>
      </c>
      <c r="D78" s="12">
        <v>28698</v>
      </c>
      <c r="E78" s="11" t="s">
        <v>218</v>
      </c>
    </row>
    <row r="79" spans="1:5">
      <c r="A79" s="13">
        <v>78</v>
      </c>
      <c r="B79" s="14" t="s">
        <v>216</v>
      </c>
      <c r="C79" s="14" t="s">
        <v>170</v>
      </c>
      <c r="D79" s="15">
        <v>29042</v>
      </c>
      <c r="E79" s="14" t="s">
        <v>35</v>
      </c>
    </row>
    <row r="80" spans="1:5">
      <c r="A80" s="10">
        <v>79</v>
      </c>
      <c r="B80" s="11" t="s">
        <v>220</v>
      </c>
      <c r="C80" s="11" t="s">
        <v>221</v>
      </c>
      <c r="D80" s="12">
        <v>36058</v>
      </c>
      <c r="E80" s="11" t="s">
        <v>26</v>
      </c>
    </row>
    <row r="81" spans="1:5">
      <c r="A81" s="13">
        <v>80</v>
      </c>
      <c r="B81" s="14" t="s">
        <v>222</v>
      </c>
      <c r="C81" s="14" t="s">
        <v>73</v>
      </c>
      <c r="D81" s="15">
        <v>26289</v>
      </c>
      <c r="E81" s="14" t="s">
        <v>223</v>
      </c>
    </row>
    <row r="82" spans="1:5">
      <c r="A82" s="10">
        <v>81</v>
      </c>
      <c r="B82" s="11" t="s">
        <v>224</v>
      </c>
      <c r="C82" s="11" t="s">
        <v>225</v>
      </c>
      <c r="D82" s="12">
        <v>32157</v>
      </c>
      <c r="E82" s="11" t="s">
        <v>150</v>
      </c>
    </row>
    <row r="83" spans="1:5">
      <c r="A83" s="13">
        <v>82</v>
      </c>
      <c r="B83" s="14" t="s">
        <v>226</v>
      </c>
      <c r="C83" s="14" t="s">
        <v>144</v>
      </c>
      <c r="D83" s="15">
        <v>29285</v>
      </c>
      <c r="E83" s="14" t="s">
        <v>227</v>
      </c>
    </row>
    <row r="84" spans="1:5">
      <c r="A84" s="10">
        <v>83</v>
      </c>
      <c r="B84" s="11" t="s">
        <v>228</v>
      </c>
      <c r="C84" s="11" t="s">
        <v>229</v>
      </c>
      <c r="D84" s="12">
        <v>38406</v>
      </c>
      <c r="E84" s="11" t="s">
        <v>230</v>
      </c>
    </row>
    <row r="85" spans="1:5">
      <c r="A85" s="13">
        <v>84</v>
      </c>
      <c r="B85" s="14" t="s">
        <v>228</v>
      </c>
      <c r="C85" s="14" t="s">
        <v>144</v>
      </c>
      <c r="D85" s="15">
        <v>30712</v>
      </c>
      <c r="E85" s="14" t="s">
        <v>231</v>
      </c>
    </row>
    <row r="86" spans="1:5">
      <c r="A86" s="10">
        <v>85</v>
      </c>
      <c r="B86" s="11" t="s">
        <v>228</v>
      </c>
      <c r="C86" s="11" t="s">
        <v>61</v>
      </c>
      <c r="D86" s="12">
        <v>33253</v>
      </c>
      <c r="E86" s="11" t="s">
        <v>232</v>
      </c>
    </row>
    <row r="87" spans="1:5">
      <c r="A87" s="13">
        <v>86</v>
      </c>
      <c r="B87" s="14" t="s">
        <v>233</v>
      </c>
      <c r="C87" s="14" t="s">
        <v>234</v>
      </c>
      <c r="D87" s="15">
        <v>35104</v>
      </c>
      <c r="E87" s="14" t="s">
        <v>235</v>
      </c>
    </row>
    <row r="88" spans="1:5">
      <c r="A88" s="10">
        <v>87</v>
      </c>
      <c r="B88" s="11" t="s">
        <v>237</v>
      </c>
      <c r="C88" s="11" t="s">
        <v>16</v>
      </c>
      <c r="D88" s="12">
        <v>31322</v>
      </c>
      <c r="E88" s="11" t="s">
        <v>238</v>
      </c>
    </row>
    <row r="89" spans="1:5">
      <c r="A89" s="13">
        <v>88</v>
      </c>
      <c r="B89" s="14" t="s">
        <v>240</v>
      </c>
      <c r="C89" s="14" t="s">
        <v>92</v>
      </c>
      <c r="D89" s="15">
        <v>33390</v>
      </c>
      <c r="E89" s="14" t="s">
        <v>241</v>
      </c>
    </row>
    <row r="90" spans="1:5">
      <c r="A90" s="10">
        <v>89</v>
      </c>
      <c r="B90" s="11" t="s">
        <v>243</v>
      </c>
      <c r="C90" s="11" t="s">
        <v>126</v>
      </c>
      <c r="D90" s="12">
        <v>32919</v>
      </c>
      <c r="E90" s="11" t="s">
        <v>25</v>
      </c>
    </row>
    <row r="91" spans="1:5">
      <c r="A91" s="13">
        <v>90</v>
      </c>
      <c r="B91" s="14" t="s">
        <v>244</v>
      </c>
      <c r="C91" s="14" t="s">
        <v>101</v>
      </c>
      <c r="D91" s="15">
        <v>29690</v>
      </c>
      <c r="E91" s="14" t="s">
        <v>90</v>
      </c>
    </row>
    <row r="92" spans="1:5">
      <c r="A92" s="10">
        <v>91</v>
      </c>
      <c r="B92" s="11" t="s">
        <v>246</v>
      </c>
      <c r="C92" s="11" t="s">
        <v>101</v>
      </c>
      <c r="D92" s="12">
        <v>26487</v>
      </c>
      <c r="E92" s="11" t="s">
        <v>25</v>
      </c>
    </row>
    <row r="93" spans="1:5">
      <c r="A93" s="13">
        <v>92</v>
      </c>
      <c r="B93" s="14" t="s">
        <v>247</v>
      </c>
      <c r="C93" s="14" t="s">
        <v>76</v>
      </c>
      <c r="D93" s="15">
        <v>34359</v>
      </c>
      <c r="E93" s="14" t="s">
        <v>158</v>
      </c>
    </row>
    <row r="94" spans="1:5">
      <c r="A94" s="10">
        <v>93</v>
      </c>
      <c r="B94" s="11" t="s">
        <v>248</v>
      </c>
      <c r="C94" s="11" t="s">
        <v>249</v>
      </c>
      <c r="D94" s="12">
        <v>25841</v>
      </c>
      <c r="E94" s="11" t="s">
        <v>67</v>
      </c>
    </row>
    <row r="95" spans="1:5">
      <c r="A95" s="13">
        <v>94</v>
      </c>
      <c r="B95" s="14" t="s">
        <v>250</v>
      </c>
      <c r="C95" s="14" t="s">
        <v>251</v>
      </c>
      <c r="D95" s="15">
        <v>29538</v>
      </c>
      <c r="E95" s="14" t="s">
        <v>252</v>
      </c>
    </row>
    <row r="96" spans="1:5">
      <c r="A96" s="10">
        <v>95</v>
      </c>
      <c r="B96" s="11" t="s">
        <v>253</v>
      </c>
      <c r="C96" s="11" t="s">
        <v>254</v>
      </c>
      <c r="D96" s="12">
        <v>27287</v>
      </c>
      <c r="E96" s="11" t="s">
        <v>255</v>
      </c>
    </row>
    <row r="97" spans="1:5">
      <c r="A97" s="13">
        <v>96</v>
      </c>
      <c r="B97" s="14" t="s">
        <v>256</v>
      </c>
      <c r="C97" s="14" t="s">
        <v>257</v>
      </c>
      <c r="D97" s="15">
        <v>30010</v>
      </c>
      <c r="E97" s="14" t="s">
        <v>25</v>
      </c>
    </row>
    <row r="98" spans="1:5">
      <c r="A98" s="10">
        <v>97</v>
      </c>
      <c r="B98" s="11" t="s">
        <v>258</v>
      </c>
      <c r="C98" s="11" t="s">
        <v>259</v>
      </c>
      <c r="D98" s="12">
        <v>27187</v>
      </c>
      <c r="E98" s="11" t="s">
        <v>260</v>
      </c>
    </row>
    <row r="99" spans="1:5">
      <c r="A99" s="13">
        <v>98</v>
      </c>
      <c r="B99" s="14" t="s">
        <v>258</v>
      </c>
      <c r="C99" s="14" t="s">
        <v>259</v>
      </c>
      <c r="D99" s="15">
        <v>37663</v>
      </c>
      <c r="E99" s="14" t="s">
        <v>25</v>
      </c>
    </row>
    <row r="100" spans="1:5">
      <c r="A100" s="10">
        <v>99</v>
      </c>
      <c r="B100" s="11" t="s">
        <v>261</v>
      </c>
      <c r="C100" s="11" t="s">
        <v>201</v>
      </c>
      <c r="D100" s="12">
        <v>36194</v>
      </c>
      <c r="E100" s="11" t="s">
        <v>262</v>
      </c>
    </row>
    <row r="101" spans="1:5">
      <c r="A101" s="13">
        <v>100</v>
      </c>
      <c r="B101" s="14" t="s">
        <v>263</v>
      </c>
      <c r="C101" s="14" t="s">
        <v>160</v>
      </c>
      <c r="D101" s="15">
        <v>29505</v>
      </c>
      <c r="E101" s="14" t="s">
        <v>264</v>
      </c>
    </row>
    <row r="102" spans="1:5">
      <c r="A102" s="10">
        <v>101</v>
      </c>
      <c r="B102" s="11" t="s">
        <v>266</v>
      </c>
      <c r="C102" s="11" t="s">
        <v>267</v>
      </c>
      <c r="D102" s="12">
        <v>34517</v>
      </c>
      <c r="E102" s="11" t="s">
        <v>90</v>
      </c>
    </row>
    <row r="103" spans="1:5">
      <c r="A103" s="13">
        <v>102</v>
      </c>
      <c r="B103" s="14" t="s">
        <v>268</v>
      </c>
      <c r="C103" s="14" t="s">
        <v>80</v>
      </c>
      <c r="D103" s="15">
        <v>30922</v>
      </c>
      <c r="E103" s="14" t="s">
        <v>93</v>
      </c>
    </row>
    <row r="104" spans="1:5">
      <c r="A104" s="10">
        <v>103</v>
      </c>
      <c r="B104" s="11" t="s">
        <v>269</v>
      </c>
      <c r="C104" s="11" t="s">
        <v>270</v>
      </c>
      <c r="D104" s="12">
        <v>27756</v>
      </c>
      <c r="E104" s="11" t="s">
        <v>25</v>
      </c>
    </row>
    <row r="105" spans="1:5">
      <c r="A105" s="13">
        <v>104</v>
      </c>
      <c r="B105" s="14" t="s">
        <v>269</v>
      </c>
      <c r="C105" s="14" t="s">
        <v>271</v>
      </c>
      <c r="D105" s="15">
        <v>26349</v>
      </c>
      <c r="E105" s="14" t="s">
        <v>25</v>
      </c>
    </row>
    <row r="106" spans="1:5">
      <c r="A106" s="10">
        <v>105</v>
      </c>
      <c r="B106" s="11" t="s">
        <v>272</v>
      </c>
      <c r="C106" s="11" t="s">
        <v>273</v>
      </c>
      <c r="D106" s="12">
        <v>34319</v>
      </c>
      <c r="E106" s="11" t="s">
        <v>274</v>
      </c>
    </row>
    <row r="107" spans="1:5">
      <c r="A107" s="13">
        <v>106</v>
      </c>
      <c r="B107" s="14" t="s">
        <v>275</v>
      </c>
      <c r="C107" s="14" t="s">
        <v>154</v>
      </c>
      <c r="D107" s="15">
        <v>30399</v>
      </c>
      <c r="E107" s="14" t="s">
        <v>36</v>
      </c>
    </row>
    <row r="108" spans="1:5">
      <c r="A108" s="10">
        <v>107</v>
      </c>
      <c r="B108" s="11" t="s">
        <v>276</v>
      </c>
      <c r="C108" s="11" t="s">
        <v>49</v>
      </c>
      <c r="D108" s="12">
        <v>31790</v>
      </c>
      <c r="E108" s="11" t="s">
        <v>138</v>
      </c>
    </row>
    <row r="109" spans="1:5">
      <c r="A109" s="13">
        <v>108</v>
      </c>
      <c r="B109" s="14" t="s">
        <v>277</v>
      </c>
      <c r="C109" s="14" t="s">
        <v>107</v>
      </c>
      <c r="D109" s="15">
        <v>27943</v>
      </c>
      <c r="E109" s="14" t="s">
        <v>25</v>
      </c>
    </row>
    <row r="110" spans="1:5">
      <c r="A110" s="10">
        <v>109</v>
      </c>
      <c r="B110" s="11" t="s">
        <v>278</v>
      </c>
      <c r="C110" s="11" t="s">
        <v>279</v>
      </c>
      <c r="D110" s="12">
        <v>36097</v>
      </c>
      <c r="E110" s="11" t="s">
        <v>67</v>
      </c>
    </row>
    <row r="111" spans="1:5">
      <c r="A111" s="13">
        <v>110</v>
      </c>
      <c r="B111" s="14" t="s">
        <v>280</v>
      </c>
      <c r="C111" s="14" t="s">
        <v>101</v>
      </c>
      <c r="D111" s="15">
        <v>30013</v>
      </c>
      <c r="E111" s="14" t="s">
        <v>25</v>
      </c>
    </row>
    <row r="112" spans="1:5">
      <c r="A112" s="10">
        <v>111</v>
      </c>
      <c r="B112" s="11" t="s">
        <v>281</v>
      </c>
      <c r="C112" s="11" t="s">
        <v>121</v>
      </c>
      <c r="D112" s="12">
        <v>36099</v>
      </c>
      <c r="E112" s="11" t="s">
        <v>282</v>
      </c>
    </row>
    <row r="113" spans="1:5">
      <c r="A113" s="13">
        <v>112</v>
      </c>
      <c r="B113" s="14" t="s">
        <v>284</v>
      </c>
      <c r="C113" s="14" t="s">
        <v>63</v>
      </c>
      <c r="D113" s="15">
        <v>29619</v>
      </c>
      <c r="E113" s="14" t="s">
        <v>26</v>
      </c>
    </row>
    <row r="114" spans="1:5">
      <c r="A114" s="10">
        <v>113</v>
      </c>
      <c r="B114" s="11" t="s">
        <v>285</v>
      </c>
      <c r="C114" s="11" t="s">
        <v>83</v>
      </c>
      <c r="D114" s="12">
        <v>27220</v>
      </c>
      <c r="E114" s="11" t="s">
        <v>25</v>
      </c>
    </row>
    <row r="115" spans="1:5">
      <c r="A115" s="13">
        <v>114</v>
      </c>
      <c r="B115" s="14" t="s">
        <v>286</v>
      </c>
      <c r="C115" s="14" t="s">
        <v>287</v>
      </c>
      <c r="D115" s="15">
        <v>29058</v>
      </c>
      <c r="E115" s="14" t="s">
        <v>288</v>
      </c>
    </row>
    <row r="116" spans="1:5">
      <c r="A116" s="10">
        <v>115</v>
      </c>
      <c r="B116" s="11" t="s">
        <v>289</v>
      </c>
      <c r="C116" s="11" t="s">
        <v>225</v>
      </c>
      <c r="D116" s="12">
        <v>29561</v>
      </c>
      <c r="E116" s="11" t="s">
        <v>290</v>
      </c>
    </row>
    <row r="117" spans="1:5">
      <c r="A117" s="13">
        <v>116</v>
      </c>
      <c r="B117" s="14" t="s">
        <v>291</v>
      </c>
      <c r="C117" s="14" t="s">
        <v>292</v>
      </c>
      <c r="D117" s="15">
        <v>27165</v>
      </c>
      <c r="E117" s="14" t="s">
        <v>25</v>
      </c>
    </row>
    <row r="118" spans="1:5">
      <c r="A118" s="10">
        <v>117</v>
      </c>
      <c r="B118" s="11" t="s">
        <v>293</v>
      </c>
      <c r="C118" s="11" t="s">
        <v>294</v>
      </c>
      <c r="D118" s="12">
        <v>28733</v>
      </c>
      <c r="E118" s="11" t="s">
        <v>295</v>
      </c>
    </row>
    <row r="119" spans="1:5">
      <c r="A119" s="13">
        <v>118</v>
      </c>
      <c r="B119" s="14" t="s">
        <v>297</v>
      </c>
      <c r="C119" s="14" t="s">
        <v>298</v>
      </c>
      <c r="D119" s="15">
        <v>37120</v>
      </c>
      <c r="E119" s="14" t="s">
        <v>25</v>
      </c>
    </row>
    <row r="120" spans="1:5">
      <c r="A120" s="10">
        <v>119</v>
      </c>
      <c r="B120" s="11" t="s">
        <v>301</v>
      </c>
      <c r="C120" s="11" t="s">
        <v>302</v>
      </c>
      <c r="D120" s="12">
        <v>35967</v>
      </c>
      <c r="E120" s="11" t="s">
        <v>303</v>
      </c>
    </row>
    <row r="121" spans="1:5">
      <c r="A121" s="13">
        <v>120</v>
      </c>
      <c r="B121" s="14" t="s">
        <v>304</v>
      </c>
      <c r="C121" s="14" t="s">
        <v>302</v>
      </c>
      <c r="D121" s="15">
        <v>34341</v>
      </c>
      <c r="E121" s="14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9238-6474-46A8-87F1-1978568EE85F}">
  <dimension ref="A1:C121"/>
  <sheetViews>
    <sheetView workbookViewId="0">
      <selection activeCell="F91" sqref="F91"/>
    </sheetView>
  </sheetViews>
  <sheetFormatPr defaultRowHeight="15"/>
  <cols>
    <col min="1" max="1" width="7.7109375" customWidth="1"/>
    <col min="2" max="2" width="23.42578125" customWidth="1"/>
    <col min="3" max="3" width="23.140625" customWidth="1"/>
  </cols>
  <sheetData>
    <row r="1" spans="1:3">
      <c r="A1" s="8" t="s">
        <v>0</v>
      </c>
      <c r="B1" s="9" t="s">
        <v>10</v>
      </c>
      <c r="C1" s="9" t="s">
        <v>11</v>
      </c>
    </row>
    <row r="2" spans="1:3">
      <c r="A2" s="10">
        <v>1</v>
      </c>
      <c r="B2" s="11" t="s">
        <v>21</v>
      </c>
      <c r="C2" s="11" t="s">
        <v>22</v>
      </c>
    </row>
    <row r="3" spans="1:3">
      <c r="A3" s="13">
        <v>2</v>
      </c>
      <c r="B3" s="14" t="s">
        <v>21</v>
      </c>
      <c r="C3" s="14" t="s">
        <v>22</v>
      </c>
    </row>
    <row r="4" spans="1:3">
      <c r="A4" s="10">
        <v>3</v>
      </c>
      <c r="B4" s="11" t="s">
        <v>32</v>
      </c>
      <c r="C4" s="11" t="s">
        <v>33</v>
      </c>
    </row>
    <row r="5" spans="1:3">
      <c r="A5" s="13">
        <v>4</v>
      </c>
      <c r="B5" s="14" t="s">
        <v>32</v>
      </c>
      <c r="C5" s="14" t="s">
        <v>38</v>
      </c>
    </row>
    <row r="6" spans="1:3">
      <c r="A6" s="10">
        <v>5</v>
      </c>
      <c r="B6" s="11" t="s">
        <v>32</v>
      </c>
      <c r="C6" s="11" t="s">
        <v>33</v>
      </c>
    </row>
    <row r="7" spans="1:3">
      <c r="A7" s="13">
        <v>6</v>
      </c>
      <c r="B7" s="14" t="s">
        <v>46</v>
      </c>
      <c r="C7" s="14" t="s">
        <v>47</v>
      </c>
    </row>
    <row r="8" spans="1:3">
      <c r="A8" s="10">
        <v>7</v>
      </c>
      <c r="B8" s="11" t="s">
        <v>21</v>
      </c>
      <c r="C8" s="11" t="s">
        <v>22</v>
      </c>
    </row>
    <row r="9" spans="1:3">
      <c r="A9" s="13">
        <v>8</v>
      </c>
      <c r="B9" s="14" t="s">
        <v>32</v>
      </c>
      <c r="C9" s="14" t="s">
        <v>55</v>
      </c>
    </row>
    <row r="10" spans="1:3">
      <c r="A10" s="10">
        <v>9</v>
      </c>
      <c r="B10" s="11" t="s">
        <v>32</v>
      </c>
      <c r="C10" s="11" t="s">
        <v>33</v>
      </c>
    </row>
    <row r="11" spans="1:3">
      <c r="A11" s="13">
        <v>10</v>
      </c>
      <c r="B11" s="14" t="s">
        <v>32</v>
      </c>
      <c r="C11" s="14" t="s">
        <v>33</v>
      </c>
    </row>
    <row r="12" spans="1:3">
      <c r="A12" s="10">
        <v>11</v>
      </c>
      <c r="B12" s="11" t="s">
        <v>46</v>
      </c>
      <c r="C12" s="11" t="s">
        <v>47</v>
      </c>
    </row>
    <row r="13" spans="1:3">
      <c r="A13" s="13">
        <v>12</v>
      </c>
      <c r="B13" s="14" t="s">
        <v>68</v>
      </c>
      <c r="C13" s="14" t="s">
        <v>69</v>
      </c>
    </row>
    <row r="14" spans="1:3">
      <c r="A14" s="10">
        <v>13</v>
      </c>
      <c r="B14" s="11" t="s">
        <v>21</v>
      </c>
      <c r="C14" s="11" t="s">
        <v>22</v>
      </c>
    </row>
    <row r="15" spans="1:3">
      <c r="A15" s="13">
        <v>14</v>
      </c>
      <c r="B15" s="14" t="s">
        <v>21</v>
      </c>
      <c r="C15" s="14" t="s">
        <v>22</v>
      </c>
    </row>
    <row r="16" spans="1:3">
      <c r="A16" s="10">
        <v>15</v>
      </c>
      <c r="B16" s="11" t="s">
        <v>32</v>
      </c>
      <c r="C16" s="11" t="s">
        <v>78</v>
      </c>
    </row>
    <row r="17" spans="1:3">
      <c r="A17" s="13">
        <v>16</v>
      </c>
      <c r="B17" s="14" t="s">
        <v>21</v>
      </c>
      <c r="C17" s="14" t="s">
        <v>22</v>
      </c>
    </row>
    <row r="18" spans="1:3">
      <c r="A18" s="10">
        <v>17</v>
      </c>
      <c r="B18" s="11" t="s">
        <v>32</v>
      </c>
      <c r="C18" s="11" t="s">
        <v>78</v>
      </c>
    </row>
    <row r="19" spans="1:3">
      <c r="A19" s="13">
        <v>18</v>
      </c>
      <c r="B19" s="14" t="s">
        <v>87</v>
      </c>
      <c r="C19" s="14" t="s">
        <v>88</v>
      </c>
    </row>
    <row r="20" spans="1:3">
      <c r="A20" s="10">
        <v>19</v>
      </c>
      <c r="B20" s="11" t="s">
        <v>32</v>
      </c>
      <c r="C20" s="11" t="s">
        <v>78</v>
      </c>
    </row>
    <row r="21" spans="1:3">
      <c r="A21" s="13">
        <v>20</v>
      </c>
      <c r="B21" s="14" t="s">
        <v>21</v>
      </c>
      <c r="C21" s="14" t="s">
        <v>94</v>
      </c>
    </row>
    <row r="22" spans="1:3">
      <c r="A22" s="10">
        <v>21</v>
      </c>
      <c r="B22" s="11" t="s">
        <v>21</v>
      </c>
      <c r="C22" s="11" t="s">
        <v>22</v>
      </c>
    </row>
    <row r="23" spans="1:3">
      <c r="A23" s="13">
        <v>22</v>
      </c>
      <c r="B23" s="14" t="s">
        <v>21</v>
      </c>
      <c r="C23" s="14" t="s">
        <v>22</v>
      </c>
    </row>
    <row r="24" spans="1:3">
      <c r="A24" s="10">
        <v>23</v>
      </c>
      <c r="B24" s="11" t="s">
        <v>32</v>
      </c>
      <c r="C24" s="11" t="s">
        <v>78</v>
      </c>
    </row>
    <row r="25" spans="1:3">
      <c r="A25" s="13">
        <v>24</v>
      </c>
      <c r="B25" s="14" t="s">
        <v>21</v>
      </c>
      <c r="C25" s="14" t="s">
        <v>22</v>
      </c>
    </row>
    <row r="26" spans="1:3">
      <c r="A26" s="10">
        <v>25</v>
      </c>
      <c r="B26" s="11" t="s">
        <v>32</v>
      </c>
      <c r="C26" s="11" t="s">
        <v>78</v>
      </c>
    </row>
    <row r="27" spans="1:3">
      <c r="A27" s="13">
        <v>26</v>
      </c>
      <c r="B27" s="14" t="s">
        <v>32</v>
      </c>
      <c r="C27" s="14" t="s">
        <v>78</v>
      </c>
    </row>
    <row r="28" spans="1:3">
      <c r="A28" s="10">
        <v>27</v>
      </c>
      <c r="B28" s="11" t="s">
        <v>32</v>
      </c>
      <c r="C28" s="11" t="s">
        <v>33</v>
      </c>
    </row>
    <row r="29" spans="1:3">
      <c r="A29" s="13">
        <v>28</v>
      </c>
      <c r="B29" s="14" t="s">
        <v>21</v>
      </c>
      <c r="C29" s="14" t="s">
        <v>22</v>
      </c>
    </row>
    <row r="30" spans="1:3">
      <c r="A30" s="10">
        <v>29</v>
      </c>
      <c r="B30" s="11" t="s">
        <v>32</v>
      </c>
      <c r="C30" s="11" t="s">
        <v>78</v>
      </c>
    </row>
    <row r="31" spans="1:3">
      <c r="A31" s="13">
        <v>30</v>
      </c>
      <c r="B31" s="14" t="s">
        <v>21</v>
      </c>
      <c r="C31" s="14" t="s">
        <v>22</v>
      </c>
    </row>
    <row r="32" spans="1:3">
      <c r="A32" s="10">
        <v>31</v>
      </c>
      <c r="B32" s="11" t="s">
        <v>87</v>
      </c>
      <c r="C32" s="11" t="s">
        <v>88</v>
      </c>
    </row>
    <row r="33" spans="1:3">
      <c r="A33" s="13">
        <v>32</v>
      </c>
      <c r="B33" s="14" t="s">
        <v>32</v>
      </c>
      <c r="C33" s="14" t="s">
        <v>124</v>
      </c>
    </row>
    <row r="34" spans="1:3">
      <c r="A34" s="10">
        <v>33</v>
      </c>
      <c r="B34" s="11" t="s">
        <v>68</v>
      </c>
      <c r="C34" s="11" t="s">
        <v>88</v>
      </c>
    </row>
    <row r="35" spans="1:3">
      <c r="A35" s="13">
        <v>34</v>
      </c>
      <c r="B35" s="14" t="s">
        <v>32</v>
      </c>
      <c r="C35" s="14" t="s">
        <v>33</v>
      </c>
    </row>
    <row r="36" spans="1:3">
      <c r="A36" s="10">
        <v>35</v>
      </c>
      <c r="B36" s="11" t="s">
        <v>21</v>
      </c>
      <c r="C36" s="11" t="s">
        <v>22</v>
      </c>
    </row>
    <row r="37" spans="1:3">
      <c r="A37" s="13">
        <v>36</v>
      </c>
      <c r="B37" s="14" t="s">
        <v>46</v>
      </c>
      <c r="C37" s="14" t="s">
        <v>47</v>
      </c>
    </row>
    <row r="38" spans="1:3">
      <c r="A38" s="10">
        <v>37</v>
      </c>
      <c r="B38" s="11" t="s">
        <v>21</v>
      </c>
      <c r="C38" s="11" t="s">
        <v>22</v>
      </c>
    </row>
    <row r="39" spans="1:3">
      <c r="A39" s="13">
        <v>38</v>
      </c>
      <c r="B39" s="14" t="s">
        <v>46</v>
      </c>
      <c r="C39" s="14" t="s">
        <v>47</v>
      </c>
    </row>
    <row r="40" spans="1:3">
      <c r="A40" s="10">
        <v>39</v>
      </c>
      <c r="B40" s="11" t="s">
        <v>21</v>
      </c>
      <c r="C40" s="11" t="s">
        <v>22</v>
      </c>
    </row>
    <row r="41" spans="1:3">
      <c r="A41" s="13">
        <v>40</v>
      </c>
      <c r="B41" s="14" t="s">
        <v>21</v>
      </c>
      <c r="C41" s="14" t="s">
        <v>22</v>
      </c>
    </row>
    <row r="42" spans="1:3">
      <c r="A42" s="10">
        <v>41</v>
      </c>
      <c r="B42" s="11" t="s">
        <v>149</v>
      </c>
      <c r="C42" s="11" t="s">
        <v>22</v>
      </c>
    </row>
    <row r="43" spans="1:3">
      <c r="A43" s="13">
        <v>42</v>
      </c>
      <c r="B43" s="14" t="s">
        <v>32</v>
      </c>
      <c r="C43" s="14" t="s">
        <v>78</v>
      </c>
    </row>
    <row r="44" spans="1:3">
      <c r="A44" s="10">
        <v>43</v>
      </c>
      <c r="B44" s="11" t="s">
        <v>32</v>
      </c>
      <c r="C44" s="11" t="s">
        <v>33</v>
      </c>
    </row>
    <row r="45" spans="1:3">
      <c r="A45" s="13">
        <v>44</v>
      </c>
      <c r="B45" s="14" t="s">
        <v>32</v>
      </c>
      <c r="C45" s="14" t="s">
        <v>55</v>
      </c>
    </row>
    <row r="46" spans="1:3">
      <c r="A46" s="10">
        <v>45</v>
      </c>
      <c r="B46" s="11" t="s">
        <v>32</v>
      </c>
      <c r="C46" s="11" t="s">
        <v>33</v>
      </c>
    </row>
    <row r="47" spans="1:3">
      <c r="A47" s="13">
        <v>46</v>
      </c>
      <c r="B47" s="14" t="s">
        <v>32</v>
      </c>
      <c r="C47" s="14" t="s">
        <v>33</v>
      </c>
    </row>
    <row r="48" spans="1:3">
      <c r="A48" s="10">
        <v>47</v>
      </c>
      <c r="B48" s="11" t="s">
        <v>46</v>
      </c>
      <c r="C48" s="11" t="s">
        <v>47</v>
      </c>
    </row>
    <row r="49" spans="1:3">
      <c r="A49" s="13">
        <v>48</v>
      </c>
      <c r="B49" s="14" t="s">
        <v>21</v>
      </c>
      <c r="C49" s="14" t="s">
        <v>22</v>
      </c>
    </row>
    <row r="50" spans="1:3">
      <c r="A50" s="10">
        <v>49</v>
      </c>
      <c r="B50" s="11" t="s">
        <v>32</v>
      </c>
      <c r="C50" s="11" t="s">
        <v>33</v>
      </c>
    </row>
    <row r="51" spans="1:3">
      <c r="A51" s="13">
        <v>50</v>
      </c>
      <c r="B51" s="14" t="s">
        <v>68</v>
      </c>
      <c r="C51" s="14" t="s">
        <v>69</v>
      </c>
    </row>
    <row r="52" spans="1:3">
      <c r="A52" s="10">
        <v>51</v>
      </c>
      <c r="B52" s="11" t="s">
        <v>21</v>
      </c>
      <c r="C52" s="11" t="s">
        <v>94</v>
      </c>
    </row>
    <row r="53" spans="1:3">
      <c r="A53" s="13">
        <v>52</v>
      </c>
      <c r="B53" s="14" t="s">
        <v>46</v>
      </c>
      <c r="C53" s="14" t="s">
        <v>47</v>
      </c>
    </row>
    <row r="54" spans="1:3">
      <c r="A54" s="10">
        <v>53</v>
      </c>
      <c r="B54" s="11" t="s">
        <v>46</v>
      </c>
      <c r="C54" s="11" t="s">
        <v>174</v>
      </c>
    </row>
    <row r="55" spans="1:3">
      <c r="A55" s="13">
        <v>54</v>
      </c>
      <c r="B55" s="14" t="s">
        <v>21</v>
      </c>
      <c r="C55" s="14" t="s">
        <v>94</v>
      </c>
    </row>
    <row r="56" spans="1:3">
      <c r="A56" s="10">
        <v>55</v>
      </c>
      <c r="B56" s="11" t="s">
        <v>32</v>
      </c>
      <c r="C56" s="11" t="s">
        <v>55</v>
      </c>
    </row>
    <row r="57" spans="1:3">
      <c r="A57" s="13">
        <v>56</v>
      </c>
      <c r="B57" s="14" t="s">
        <v>32</v>
      </c>
      <c r="C57" s="14" t="s">
        <v>38</v>
      </c>
    </row>
    <row r="58" spans="1:3">
      <c r="A58" s="10">
        <v>57</v>
      </c>
      <c r="B58" s="11" t="s">
        <v>32</v>
      </c>
      <c r="C58" s="11" t="s">
        <v>33</v>
      </c>
    </row>
    <row r="59" spans="1:3">
      <c r="A59" s="13">
        <v>58</v>
      </c>
      <c r="B59" s="14" t="s">
        <v>68</v>
      </c>
      <c r="C59" s="14" t="s">
        <v>69</v>
      </c>
    </row>
    <row r="60" spans="1:3">
      <c r="A60" s="10">
        <v>59</v>
      </c>
      <c r="B60" s="11" t="s">
        <v>32</v>
      </c>
      <c r="C60" s="11" t="s">
        <v>33</v>
      </c>
    </row>
    <row r="61" spans="1:3">
      <c r="A61" s="13">
        <v>60</v>
      </c>
      <c r="B61" s="14" t="s">
        <v>32</v>
      </c>
      <c r="C61" s="14" t="s">
        <v>55</v>
      </c>
    </row>
    <row r="62" spans="1:3">
      <c r="A62" s="10">
        <v>61</v>
      </c>
      <c r="B62" s="11" t="s">
        <v>32</v>
      </c>
      <c r="C62" s="11" t="s">
        <v>33</v>
      </c>
    </row>
    <row r="63" spans="1:3">
      <c r="A63" s="13">
        <v>62</v>
      </c>
      <c r="B63" s="14" t="s">
        <v>46</v>
      </c>
      <c r="C63" s="14" t="s">
        <v>47</v>
      </c>
    </row>
    <row r="64" spans="1:3">
      <c r="A64" s="10">
        <v>63</v>
      </c>
      <c r="B64" s="11" t="s">
        <v>21</v>
      </c>
      <c r="C64" s="11" t="s">
        <v>22</v>
      </c>
    </row>
    <row r="65" spans="1:3">
      <c r="A65" s="13">
        <v>64</v>
      </c>
      <c r="B65" s="14" t="s">
        <v>32</v>
      </c>
      <c r="C65" s="14" t="s">
        <v>33</v>
      </c>
    </row>
    <row r="66" spans="1:3">
      <c r="A66" s="10">
        <v>65</v>
      </c>
      <c r="B66" s="11" t="s">
        <v>32</v>
      </c>
      <c r="C66" s="11" t="s">
        <v>55</v>
      </c>
    </row>
    <row r="67" spans="1:3">
      <c r="A67" s="13">
        <v>66</v>
      </c>
      <c r="B67" s="14" t="s">
        <v>21</v>
      </c>
      <c r="C67" s="14" t="s">
        <v>22</v>
      </c>
    </row>
    <row r="68" spans="1:3">
      <c r="A68" s="10">
        <v>67</v>
      </c>
      <c r="B68" s="11" t="s">
        <v>32</v>
      </c>
      <c r="C68" s="11" t="s">
        <v>33</v>
      </c>
    </row>
    <row r="69" spans="1:3">
      <c r="A69" s="13">
        <v>68</v>
      </c>
      <c r="B69" s="14" t="s">
        <v>149</v>
      </c>
      <c r="C69" s="14" t="s">
        <v>22</v>
      </c>
    </row>
    <row r="70" spans="1:3">
      <c r="A70" s="10">
        <v>69</v>
      </c>
      <c r="B70" s="11" t="s">
        <v>46</v>
      </c>
      <c r="C70" s="11" t="s">
        <v>47</v>
      </c>
    </row>
    <row r="71" spans="1:3">
      <c r="A71" s="13">
        <v>70</v>
      </c>
      <c r="B71" s="14" t="s">
        <v>32</v>
      </c>
      <c r="C71" s="14" t="s">
        <v>33</v>
      </c>
    </row>
    <row r="72" spans="1:3">
      <c r="A72" s="10">
        <v>71</v>
      </c>
      <c r="B72" s="11" t="s">
        <v>21</v>
      </c>
      <c r="C72" s="11" t="s">
        <v>94</v>
      </c>
    </row>
    <row r="73" spans="1:3">
      <c r="A73" s="13">
        <v>72</v>
      </c>
      <c r="B73" s="14" t="s">
        <v>32</v>
      </c>
      <c r="C73" s="14" t="s">
        <v>33</v>
      </c>
    </row>
    <row r="74" spans="1:3">
      <c r="A74" s="10">
        <v>73</v>
      </c>
      <c r="B74" s="11" t="s">
        <v>46</v>
      </c>
      <c r="C74" s="11" t="s">
        <v>174</v>
      </c>
    </row>
    <row r="75" spans="1:3">
      <c r="A75" s="13">
        <v>74</v>
      </c>
      <c r="B75" s="14" t="s">
        <v>87</v>
      </c>
      <c r="C75" s="14" t="s">
        <v>88</v>
      </c>
    </row>
    <row r="76" spans="1:3">
      <c r="A76" s="10">
        <v>75</v>
      </c>
      <c r="B76" s="11" t="s">
        <v>46</v>
      </c>
      <c r="C76" s="11" t="s">
        <v>47</v>
      </c>
    </row>
    <row r="77" spans="1:3">
      <c r="A77" s="13">
        <v>76</v>
      </c>
      <c r="B77" s="14" t="s">
        <v>21</v>
      </c>
      <c r="C77" s="14" t="s">
        <v>22</v>
      </c>
    </row>
    <row r="78" spans="1:3">
      <c r="A78" s="10">
        <v>77</v>
      </c>
      <c r="B78" s="11" t="s">
        <v>46</v>
      </c>
      <c r="C78" s="11" t="s">
        <v>47</v>
      </c>
    </row>
    <row r="79" spans="1:3">
      <c r="A79" s="13">
        <v>78</v>
      </c>
      <c r="B79" s="14" t="s">
        <v>21</v>
      </c>
      <c r="C79" s="14" t="s">
        <v>22</v>
      </c>
    </row>
    <row r="80" spans="1:3">
      <c r="A80" s="10">
        <v>79</v>
      </c>
      <c r="B80" s="11" t="s">
        <v>46</v>
      </c>
      <c r="C80" s="11" t="s">
        <v>47</v>
      </c>
    </row>
    <row r="81" spans="1:3">
      <c r="A81" s="13">
        <v>80</v>
      </c>
      <c r="B81" s="14" t="s">
        <v>21</v>
      </c>
      <c r="C81" s="14" t="s">
        <v>22</v>
      </c>
    </row>
    <row r="82" spans="1:3">
      <c r="A82" s="10">
        <v>81</v>
      </c>
      <c r="B82" s="11" t="s">
        <v>32</v>
      </c>
      <c r="C82" s="11" t="s">
        <v>78</v>
      </c>
    </row>
    <row r="83" spans="1:3">
      <c r="A83" s="13">
        <v>82</v>
      </c>
      <c r="B83" s="14" t="s">
        <v>32</v>
      </c>
      <c r="C83" s="14" t="s">
        <v>33</v>
      </c>
    </row>
    <row r="84" spans="1:3">
      <c r="A84" s="10">
        <v>83</v>
      </c>
      <c r="B84" s="11" t="s">
        <v>87</v>
      </c>
      <c r="C84" s="11" t="s">
        <v>88</v>
      </c>
    </row>
    <row r="85" spans="1:3">
      <c r="A85" s="13">
        <v>84</v>
      </c>
      <c r="B85" s="14" t="s">
        <v>32</v>
      </c>
      <c r="C85" s="14" t="s">
        <v>33</v>
      </c>
    </row>
    <row r="86" spans="1:3">
      <c r="A86" s="10">
        <v>85</v>
      </c>
      <c r="B86" s="11" t="s">
        <v>32</v>
      </c>
      <c r="C86" s="11" t="s">
        <v>55</v>
      </c>
    </row>
    <row r="87" spans="1:3">
      <c r="A87" s="13">
        <v>86</v>
      </c>
      <c r="B87" s="14" t="s">
        <v>21</v>
      </c>
      <c r="C87" s="14" t="s">
        <v>94</v>
      </c>
    </row>
    <row r="88" spans="1:3">
      <c r="A88" s="10">
        <v>87</v>
      </c>
      <c r="B88" s="11" t="s">
        <v>32</v>
      </c>
      <c r="C88" s="11" t="s">
        <v>33</v>
      </c>
    </row>
    <row r="89" spans="1:3">
      <c r="A89" s="13">
        <v>88</v>
      </c>
      <c r="B89" s="14" t="s">
        <v>32</v>
      </c>
      <c r="C89" s="14" t="s">
        <v>55</v>
      </c>
    </row>
    <row r="90" spans="1:3">
      <c r="A90" s="10">
        <v>89</v>
      </c>
      <c r="B90" s="11" t="s">
        <v>149</v>
      </c>
      <c r="C90" s="11" t="s">
        <v>22</v>
      </c>
    </row>
    <row r="91" spans="1:3">
      <c r="A91" s="13">
        <v>90</v>
      </c>
      <c r="B91" s="14" t="s">
        <v>32</v>
      </c>
      <c r="C91" s="14" t="s">
        <v>33</v>
      </c>
    </row>
    <row r="92" spans="1:3">
      <c r="A92" s="10">
        <v>91</v>
      </c>
      <c r="B92" s="11" t="s">
        <v>32</v>
      </c>
      <c r="C92" s="11" t="s">
        <v>55</v>
      </c>
    </row>
    <row r="93" spans="1:3">
      <c r="A93" s="13">
        <v>92</v>
      </c>
      <c r="B93" s="14" t="s">
        <v>32</v>
      </c>
      <c r="C93" s="14" t="s">
        <v>78</v>
      </c>
    </row>
    <row r="94" spans="1:3">
      <c r="A94" s="10">
        <v>93</v>
      </c>
      <c r="B94" s="11" t="s">
        <v>32</v>
      </c>
      <c r="C94" s="11" t="s">
        <v>78</v>
      </c>
    </row>
    <row r="95" spans="1:3">
      <c r="A95" s="13">
        <v>94</v>
      </c>
      <c r="B95" s="14" t="s">
        <v>149</v>
      </c>
      <c r="C95" s="14" t="s">
        <v>22</v>
      </c>
    </row>
    <row r="96" spans="1:3">
      <c r="A96" s="10">
        <v>95</v>
      </c>
      <c r="B96" s="11" t="s">
        <v>32</v>
      </c>
      <c r="C96" s="11" t="s">
        <v>33</v>
      </c>
    </row>
    <row r="97" spans="1:3">
      <c r="A97" s="13">
        <v>96</v>
      </c>
      <c r="B97" s="14" t="s">
        <v>32</v>
      </c>
      <c r="C97" s="14" t="s">
        <v>33</v>
      </c>
    </row>
    <row r="98" spans="1:3">
      <c r="A98" s="10">
        <v>97</v>
      </c>
      <c r="B98" s="11" t="s">
        <v>21</v>
      </c>
      <c r="C98" s="11" t="s">
        <v>22</v>
      </c>
    </row>
    <row r="99" spans="1:3">
      <c r="A99" s="13">
        <v>98</v>
      </c>
      <c r="B99" s="14" t="s">
        <v>32</v>
      </c>
      <c r="C99" s="14" t="s">
        <v>55</v>
      </c>
    </row>
    <row r="100" spans="1:3">
      <c r="A100" s="10">
        <v>99</v>
      </c>
      <c r="B100" s="11" t="s">
        <v>32</v>
      </c>
      <c r="C100" s="11" t="s">
        <v>33</v>
      </c>
    </row>
    <row r="101" spans="1:3">
      <c r="A101" s="13">
        <v>100</v>
      </c>
      <c r="B101" s="14" t="s">
        <v>32</v>
      </c>
      <c r="C101" s="14" t="s">
        <v>33</v>
      </c>
    </row>
    <row r="102" spans="1:3">
      <c r="A102" s="10">
        <v>101</v>
      </c>
      <c r="B102" s="11" t="s">
        <v>149</v>
      </c>
      <c r="C102" s="11" t="s">
        <v>22</v>
      </c>
    </row>
    <row r="103" spans="1:3">
      <c r="A103" s="13">
        <v>102</v>
      </c>
      <c r="B103" s="14" t="s">
        <v>87</v>
      </c>
      <c r="C103" s="14" t="s">
        <v>88</v>
      </c>
    </row>
    <row r="104" spans="1:3">
      <c r="A104" s="10">
        <v>103</v>
      </c>
      <c r="B104" s="11" t="s">
        <v>32</v>
      </c>
      <c r="C104" s="11" t="s">
        <v>78</v>
      </c>
    </row>
    <row r="105" spans="1:3">
      <c r="A105" s="13">
        <v>104</v>
      </c>
      <c r="B105" s="14" t="s">
        <v>87</v>
      </c>
      <c r="C105" s="14" t="s">
        <v>88</v>
      </c>
    </row>
    <row r="106" spans="1:3">
      <c r="A106" s="10">
        <v>105</v>
      </c>
      <c r="B106" s="11" t="s">
        <v>21</v>
      </c>
      <c r="C106" s="11" t="s">
        <v>22</v>
      </c>
    </row>
    <row r="107" spans="1:3">
      <c r="A107" s="13">
        <v>106</v>
      </c>
      <c r="B107" s="14" t="s">
        <v>32</v>
      </c>
      <c r="C107" s="14" t="s">
        <v>33</v>
      </c>
    </row>
    <row r="108" spans="1:3">
      <c r="A108" s="10">
        <v>107</v>
      </c>
      <c r="B108" s="11" t="s">
        <v>32</v>
      </c>
      <c r="C108" s="11" t="s">
        <v>78</v>
      </c>
    </row>
    <row r="109" spans="1:3">
      <c r="A109" s="13">
        <v>108</v>
      </c>
      <c r="B109" s="14" t="s">
        <v>149</v>
      </c>
      <c r="C109" s="14" t="s">
        <v>94</v>
      </c>
    </row>
    <row r="110" spans="1:3">
      <c r="A110" s="10">
        <v>109</v>
      </c>
      <c r="B110" s="11" t="s">
        <v>68</v>
      </c>
      <c r="C110" s="11" t="s">
        <v>88</v>
      </c>
    </row>
    <row r="111" spans="1:3">
      <c r="A111" s="13">
        <v>110</v>
      </c>
      <c r="B111" s="14" t="s">
        <v>32</v>
      </c>
      <c r="C111" s="14" t="s">
        <v>55</v>
      </c>
    </row>
    <row r="112" spans="1:3">
      <c r="A112" s="10">
        <v>111</v>
      </c>
      <c r="B112" s="11" t="s">
        <v>21</v>
      </c>
      <c r="C112" s="11" t="s">
        <v>22</v>
      </c>
    </row>
    <row r="113" spans="1:3">
      <c r="A113" s="13">
        <v>112</v>
      </c>
      <c r="B113" s="14" t="s">
        <v>32</v>
      </c>
      <c r="C113" s="14" t="s">
        <v>78</v>
      </c>
    </row>
    <row r="114" spans="1:3">
      <c r="A114" s="10">
        <v>113</v>
      </c>
      <c r="B114" s="11" t="s">
        <v>32</v>
      </c>
      <c r="C114" s="11" t="s">
        <v>78</v>
      </c>
    </row>
    <row r="115" spans="1:3">
      <c r="A115" s="13">
        <v>114</v>
      </c>
      <c r="B115" s="14" t="s">
        <v>46</v>
      </c>
      <c r="C115" s="14" t="s">
        <v>47</v>
      </c>
    </row>
    <row r="116" spans="1:3">
      <c r="A116" s="10">
        <v>115</v>
      </c>
      <c r="B116" s="11" t="s">
        <v>32</v>
      </c>
      <c r="C116" s="11" t="s">
        <v>55</v>
      </c>
    </row>
    <row r="117" spans="1:3">
      <c r="A117" s="13">
        <v>116</v>
      </c>
      <c r="B117" s="14" t="s">
        <v>21</v>
      </c>
      <c r="C117" s="14" t="s">
        <v>22</v>
      </c>
    </row>
    <row r="118" spans="1:3">
      <c r="A118" s="10">
        <v>117</v>
      </c>
      <c r="B118" s="11" t="s">
        <v>32</v>
      </c>
      <c r="C118" s="11" t="s">
        <v>296</v>
      </c>
    </row>
    <row r="119" spans="1:3">
      <c r="A119" s="13">
        <v>118</v>
      </c>
      <c r="B119" s="14" t="s">
        <v>21</v>
      </c>
      <c r="C119" s="14" t="s">
        <v>300</v>
      </c>
    </row>
    <row r="120" spans="1:3">
      <c r="A120" s="10">
        <v>119</v>
      </c>
      <c r="B120" s="11" t="s">
        <v>32</v>
      </c>
      <c r="C120" s="11" t="s">
        <v>78</v>
      </c>
    </row>
    <row r="121" spans="1:3">
      <c r="A121" s="13">
        <v>120</v>
      </c>
      <c r="B121" s="14" t="s">
        <v>21</v>
      </c>
      <c r="C121" s="1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2026-01-24T06:50:39Z</dcterms:created>
  <dcterms:modified xsi:type="dcterms:W3CDTF">2026-01-24T10:42:00Z</dcterms:modified>
  <cp:category/>
  <cp:contentStatus/>
</cp:coreProperties>
</file>