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3C67B13-908E-4F8C-A083-C43536D8A0E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szystko" sheetId="1" r:id="rId1"/>
    <sheet name="średnie+sumy dzialu" sheetId="7" r:id="rId2"/>
    <sheet name="wykres" sheetId="6" r:id="rId3"/>
    <sheet name="tabela przestawna" sheetId="5" r:id="rId4"/>
    <sheet name="wynagrodzenia" sheetId="4" r:id="rId5"/>
    <sheet name="stanowiska" sheetId="3" r:id="rId6"/>
    <sheet name="pracownicy" sheetId="2" r:id="rId7"/>
  </sheets>
  <definedNames>
    <definedName name="_xlnm._FilterDatabase" localSheetId="2" hidden="1">wykres!$A$1:$B$121</definedName>
  </definedNames>
  <calcPr calcId="191028"/>
  <pivotCaches>
    <pivotCache cacheId="1400" r:id="rId8"/>
    <pivotCache cacheId="243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D2" i="7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6" i="1"/>
  <c r="N105" i="1"/>
  <c r="N104" i="1"/>
  <c r="N103" i="1"/>
  <c r="N102" i="1"/>
  <c r="N101" i="1"/>
  <c r="N99" i="1"/>
  <c r="N98" i="1"/>
  <c r="N97" i="1"/>
  <c r="N96" i="1"/>
  <c r="N95" i="1"/>
  <c r="N94" i="1"/>
  <c r="N93" i="1"/>
  <c r="N92" i="1"/>
  <c r="N90" i="1"/>
  <c r="N89" i="1"/>
  <c r="N87" i="1"/>
  <c r="N86" i="1"/>
  <c r="N85" i="1"/>
  <c r="N84" i="1"/>
  <c r="N83" i="1"/>
  <c r="N82" i="1"/>
  <c r="N81" i="1"/>
  <c r="N80" i="1"/>
  <c r="N79" i="1"/>
  <c r="N78" i="1"/>
  <c r="N76" i="1"/>
  <c r="N75" i="1"/>
  <c r="N74" i="1"/>
  <c r="N73" i="1"/>
  <c r="N72" i="1"/>
  <c r="N71" i="1"/>
  <c r="N70" i="1"/>
  <c r="N69" i="1"/>
  <c r="N68" i="1"/>
  <c r="N67" i="1"/>
  <c r="N66" i="1"/>
  <c r="N65" i="1"/>
  <c r="N63" i="1"/>
  <c r="N62" i="1"/>
  <c r="N61" i="1"/>
  <c r="N60" i="1"/>
  <c r="N59" i="1"/>
  <c r="N58" i="1"/>
  <c r="N57" i="1"/>
  <c r="N56" i="1"/>
  <c r="N55" i="1"/>
  <c r="N54" i="1"/>
  <c r="N52" i="1"/>
  <c r="N51" i="1"/>
  <c r="N50" i="1"/>
  <c r="N48" i="1"/>
  <c r="N47" i="1"/>
  <c r="N46" i="1"/>
  <c r="N45" i="1"/>
  <c r="N44" i="1"/>
  <c r="N43" i="1"/>
  <c r="N42" i="1"/>
  <c r="N41" i="1"/>
  <c r="N40" i="1"/>
  <c r="N39" i="1"/>
  <c r="N37" i="1"/>
  <c r="N36" i="1"/>
  <c r="N35" i="1"/>
  <c r="N34" i="1"/>
  <c r="N33" i="1"/>
  <c r="N32" i="1"/>
  <c r="N31" i="1"/>
  <c r="N30" i="1"/>
  <c r="N29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5" i="1"/>
  <c r="N4" i="1"/>
  <c r="N2" i="1"/>
  <c r="N3" i="1"/>
  <c r="N12" i="1"/>
  <c r="N28" i="1"/>
  <c r="N38" i="1"/>
  <c r="N49" i="1"/>
  <c r="N53" i="1"/>
  <c r="N64" i="1"/>
  <c r="N77" i="1"/>
  <c r="N88" i="1"/>
  <c r="N91" i="1"/>
  <c r="N100" i="1"/>
  <c r="N107" i="1"/>
</calcChain>
</file>

<file path=xl/sharedStrings.xml><?xml version="1.0" encoding="utf-8"?>
<sst xmlns="http://schemas.openxmlformats.org/spreadsheetml/2006/main" count="1740" uniqueCount="314">
  <si>
    <t>Lp</t>
  </si>
  <si>
    <t>Nazwisko</t>
  </si>
  <si>
    <t>Imie</t>
  </si>
  <si>
    <t>data_ur</t>
  </si>
  <si>
    <t>miejsce_ur</t>
  </si>
  <si>
    <t>miejscowosc</t>
  </si>
  <si>
    <t>żona/mąż</t>
  </si>
  <si>
    <t>dzieci</t>
  </si>
  <si>
    <t>jezyk</t>
  </si>
  <si>
    <t>zatrudniony</t>
  </si>
  <si>
    <t>dzial</t>
  </si>
  <si>
    <t>stanowisko</t>
  </si>
  <si>
    <t>Rocznie</t>
  </si>
  <si>
    <t xml:space="preserve">Dochód na każdego członka rodziny </t>
  </si>
  <si>
    <t>Ukończone lata</t>
  </si>
  <si>
    <t>Adranowicz</t>
  </si>
  <si>
    <t>Halina</t>
  </si>
  <si>
    <t>Skierniewice</t>
  </si>
  <si>
    <t>Chełm</t>
  </si>
  <si>
    <t>tak</t>
  </si>
  <si>
    <t>angielski</t>
  </si>
  <si>
    <t>kadry</t>
  </si>
  <si>
    <t>referent</t>
  </si>
  <si>
    <t>Andrzejczak</t>
  </si>
  <si>
    <t>Agnieszka</t>
  </si>
  <si>
    <t>Szczecin</t>
  </si>
  <si>
    <t>Chojna</t>
  </si>
  <si>
    <t>nie</t>
  </si>
  <si>
    <t>niemiecki, angielski</t>
  </si>
  <si>
    <t>Helena</t>
  </si>
  <si>
    <t>Pyrzyce</t>
  </si>
  <si>
    <t>Świdnik</t>
  </si>
  <si>
    <t>produkcja</t>
  </si>
  <si>
    <t>krawcowa</t>
  </si>
  <si>
    <t>Banasiak</t>
  </si>
  <si>
    <t>Choszczno</t>
  </si>
  <si>
    <t>Biała Podlaska</t>
  </si>
  <si>
    <t> </t>
  </si>
  <si>
    <t>z-ca dyrektora</t>
  </si>
  <si>
    <t>Feliks</t>
  </si>
  <si>
    <t>Banie</t>
  </si>
  <si>
    <t xml:space="preserve">niemiecki </t>
  </si>
  <si>
    <t>Banaszak</t>
  </si>
  <si>
    <t>Aleksander</t>
  </si>
  <si>
    <t>Wałcz</t>
  </si>
  <si>
    <t>niemiecki</t>
  </si>
  <si>
    <t>transport</t>
  </si>
  <si>
    <t>kierowca</t>
  </si>
  <si>
    <t>Biedrzycki</t>
  </si>
  <si>
    <t>Zbigniew</t>
  </si>
  <si>
    <t>Boguszów</t>
  </si>
  <si>
    <t>francuski, angielski</t>
  </si>
  <si>
    <t>Bogucewicz</t>
  </si>
  <si>
    <t>Cecylia</t>
  </si>
  <si>
    <t>Bydgoszcz</t>
  </si>
  <si>
    <t>wykrawacz</t>
  </si>
  <si>
    <t>Bogusławski</t>
  </si>
  <si>
    <t>Karol</t>
  </si>
  <si>
    <t>Łódź</t>
  </si>
  <si>
    <t>hiszpański</t>
  </si>
  <si>
    <t xml:space="preserve">Borkowski </t>
  </si>
  <si>
    <t>Stanisław</t>
  </si>
  <si>
    <t>Bugalska</t>
  </si>
  <si>
    <t>Ewa</t>
  </si>
  <si>
    <t>angielski, rosyjski</t>
  </si>
  <si>
    <t>Bugalski</t>
  </si>
  <si>
    <t>Leszek</t>
  </si>
  <si>
    <t>Barlinek</t>
  </si>
  <si>
    <t>zaopatrzenie</t>
  </si>
  <si>
    <t>zaopatrzeniowiec</t>
  </si>
  <si>
    <t>Chojnacka</t>
  </si>
  <si>
    <t>Edyta</t>
  </si>
  <si>
    <t>Cichocki</t>
  </si>
  <si>
    <t>Marian</t>
  </si>
  <si>
    <t>Czarnków</t>
  </si>
  <si>
    <t>Cieślak</t>
  </si>
  <si>
    <t>Małgorzata</t>
  </si>
  <si>
    <t>Chorzów</t>
  </si>
  <si>
    <t>prasowacz</t>
  </si>
  <si>
    <t>Cieślewicz</t>
  </si>
  <si>
    <t>Magdalena</t>
  </si>
  <si>
    <t>francuski</t>
  </si>
  <si>
    <t>Dańczura</t>
  </si>
  <si>
    <t>Paweł</t>
  </si>
  <si>
    <t>Długosz</t>
  </si>
  <si>
    <t>Aneta</t>
  </si>
  <si>
    <t>Radom</t>
  </si>
  <si>
    <t>magazyn</t>
  </si>
  <si>
    <t>magazynier</t>
  </si>
  <si>
    <t>Ludwik</t>
  </si>
  <si>
    <t>Cedynia</t>
  </si>
  <si>
    <t>Dragon</t>
  </si>
  <si>
    <t>Józef</t>
  </si>
  <si>
    <t>Białogard</t>
  </si>
  <si>
    <t>księgowa</t>
  </si>
  <si>
    <t>Dziuba</t>
  </si>
  <si>
    <t>Bożena</t>
  </si>
  <si>
    <t>Bolesławiec</t>
  </si>
  <si>
    <t>Ejsmont</t>
  </si>
  <si>
    <t>Barbara</t>
  </si>
  <si>
    <t>Engel</t>
  </si>
  <si>
    <t>Piotr</t>
  </si>
  <si>
    <t>Falkiewicz</t>
  </si>
  <si>
    <t>Stefan</t>
  </si>
  <si>
    <t>Fedorowicz</t>
  </si>
  <si>
    <t>Czechowice</t>
  </si>
  <si>
    <t>Filipczyk</t>
  </si>
  <si>
    <t>Czesław</t>
  </si>
  <si>
    <t>Chociwel</t>
  </si>
  <si>
    <t>Filipek</t>
  </si>
  <si>
    <t>Teresa</t>
  </si>
  <si>
    <t>Pabianice</t>
  </si>
  <si>
    <t>Fudaj</t>
  </si>
  <si>
    <t>Paulina</t>
  </si>
  <si>
    <t>Świdnica</t>
  </si>
  <si>
    <t>Futerska</t>
  </si>
  <si>
    <t>Żywiec</t>
  </si>
  <si>
    <t>Gad</t>
  </si>
  <si>
    <t>Justyna</t>
  </si>
  <si>
    <t>Stalowa Wola</t>
  </si>
  <si>
    <t xml:space="preserve">Gajewska </t>
  </si>
  <si>
    <t>Grażyna</t>
  </si>
  <si>
    <t>Brodnica</t>
  </si>
  <si>
    <t>Ginalski</t>
  </si>
  <si>
    <t>dyrektor</t>
  </si>
  <si>
    <t>Góralczyk</t>
  </si>
  <si>
    <t>Wojciech</t>
  </si>
  <si>
    <t>niemiecki, hiszpański</t>
  </si>
  <si>
    <t>Grabowski</t>
  </si>
  <si>
    <t>Jacek</t>
  </si>
  <si>
    <t>Bogdaniec</t>
  </si>
  <si>
    <t>Nowa Sól</t>
  </si>
  <si>
    <t>Gruca</t>
  </si>
  <si>
    <t>Grzegorz</t>
  </si>
  <si>
    <t>Kleszczele</t>
  </si>
  <si>
    <t>Cezary</t>
  </si>
  <si>
    <t>Chełmno</t>
  </si>
  <si>
    <t>Henkelman</t>
  </si>
  <si>
    <t>Świnoujście</t>
  </si>
  <si>
    <t>Piotrowice</t>
  </si>
  <si>
    <t>Jagielska</t>
  </si>
  <si>
    <t>Frombork</t>
  </si>
  <si>
    <t>niemiecki, rosyjski</t>
  </si>
  <si>
    <t>Janowska</t>
  </si>
  <si>
    <t>Maria</t>
  </si>
  <si>
    <t>Abramów</t>
  </si>
  <si>
    <t>Białystok</t>
  </si>
  <si>
    <t>Kacprzyk</t>
  </si>
  <si>
    <t>Dominika</t>
  </si>
  <si>
    <t xml:space="preserve">kadry </t>
  </si>
  <si>
    <t>Warszawa</t>
  </si>
  <si>
    <t>Karczewska</t>
  </si>
  <si>
    <t>Kamila</t>
  </si>
  <si>
    <t>Koszel</t>
  </si>
  <si>
    <t>Anna</t>
  </si>
  <si>
    <t>Stargard</t>
  </si>
  <si>
    <t>Kowalska</t>
  </si>
  <si>
    <t>Bytom</t>
  </si>
  <si>
    <t>Chojnice</t>
  </si>
  <si>
    <t>Kowalski</t>
  </si>
  <si>
    <t>Jan</t>
  </si>
  <si>
    <t>Gryfino</t>
  </si>
  <si>
    <t>Kozłowska</t>
  </si>
  <si>
    <t>Olsztyn</t>
  </si>
  <si>
    <t>Krajewska</t>
  </si>
  <si>
    <t>Lucyna</t>
  </si>
  <si>
    <t>Bylew</t>
  </si>
  <si>
    <t>Kremicz</t>
  </si>
  <si>
    <t>Dobrzany</t>
  </si>
  <si>
    <t>Kresa</t>
  </si>
  <si>
    <t>Krystyna</t>
  </si>
  <si>
    <t>Kazimierz</t>
  </si>
  <si>
    <t>Bratomierz</t>
  </si>
  <si>
    <t>Kruszewski</t>
  </si>
  <si>
    <t>dyspozytor</t>
  </si>
  <si>
    <t>Kuc</t>
  </si>
  <si>
    <t>Toruń</t>
  </si>
  <si>
    <t>Kupś</t>
  </si>
  <si>
    <t>Kielce</t>
  </si>
  <si>
    <t>Kustroń</t>
  </si>
  <si>
    <t>Hanna</t>
  </si>
  <si>
    <t>Rzeszów</t>
  </si>
  <si>
    <t>Leszczyk</t>
  </si>
  <si>
    <t>Mikołaj</t>
  </si>
  <si>
    <t>Lewandowicz</t>
  </si>
  <si>
    <t>Zamość</t>
  </si>
  <si>
    <t>Ligocki</t>
  </si>
  <si>
    <t>Ryszard</t>
  </si>
  <si>
    <t xml:space="preserve">Lipiński </t>
  </si>
  <si>
    <t>Lipka</t>
  </si>
  <si>
    <t>Łopata</t>
  </si>
  <si>
    <t>Henryk</t>
  </si>
  <si>
    <t>Braniewo</t>
  </si>
  <si>
    <t>Maciejewski</t>
  </si>
  <si>
    <t>Zygmunt</t>
  </si>
  <si>
    <t>Czaplice</t>
  </si>
  <si>
    <t>Maliniak</t>
  </si>
  <si>
    <t>Niechcic</t>
  </si>
  <si>
    <t>Tomasz</t>
  </si>
  <si>
    <t>Przemyśl</t>
  </si>
  <si>
    <t>Nitecka</t>
  </si>
  <si>
    <t>Jolanta</t>
  </si>
  <si>
    <t>Nowak</t>
  </si>
  <si>
    <t>Sopot</t>
  </si>
  <si>
    <t>Przemysław</t>
  </si>
  <si>
    <t>Police</t>
  </si>
  <si>
    <t>Nowakowski</t>
  </si>
  <si>
    <t>Marek</t>
  </si>
  <si>
    <t>Bierutów</t>
  </si>
  <si>
    <t>Ołdakowska</t>
  </si>
  <si>
    <t>Ołldakowska</t>
  </si>
  <si>
    <t>Osowska</t>
  </si>
  <si>
    <t>Ostrowska</t>
  </si>
  <si>
    <t>Gorzów</t>
  </si>
  <si>
    <t>Owczarek</t>
  </si>
  <si>
    <t>Owczarz</t>
  </si>
  <si>
    <t>Paluch</t>
  </si>
  <si>
    <t>Edward</t>
  </si>
  <si>
    <t>Człuchów</t>
  </si>
  <si>
    <t>angielski, niemiecki</t>
  </si>
  <si>
    <t>Pogorzelski</t>
  </si>
  <si>
    <t>Jerzy</t>
  </si>
  <si>
    <t>Puchalski</t>
  </si>
  <si>
    <t>Charków</t>
  </si>
  <si>
    <t>Radoszewska</t>
  </si>
  <si>
    <t>Joanna</t>
  </si>
  <si>
    <t>Rogalska</t>
  </si>
  <si>
    <t>Lublin</t>
  </si>
  <si>
    <t>Rokita</t>
  </si>
  <si>
    <t>Marta</t>
  </si>
  <si>
    <t>Opole</t>
  </si>
  <si>
    <t>Brzezin</t>
  </si>
  <si>
    <t>Czarnkow</t>
  </si>
  <si>
    <t>Rondzisty</t>
  </si>
  <si>
    <t>Marcin</t>
  </si>
  <si>
    <t>Mińsk</t>
  </si>
  <si>
    <t>rosyjski, francuski</t>
  </si>
  <si>
    <t xml:space="preserve">Rudnicka </t>
  </si>
  <si>
    <t>Lubanowo</t>
  </si>
  <si>
    <t>Iława</t>
  </si>
  <si>
    <t>Rudnicki</t>
  </si>
  <si>
    <t>Świecie</t>
  </si>
  <si>
    <t>francuski, niemiecki</t>
  </si>
  <si>
    <t>Runowicz</t>
  </si>
  <si>
    <t>Rybak</t>
  </si>
  <si>
    <t>Gdańsk</t>
  </si>
  <si>
    <t>Sadowski</t>
  </si>
  <si>
    <t>Samborska</t>
  </si>
  <si>
    <t>Skrzypczak</t>
  </si>
  <si>
    <t>Jadwiga</t>
  </si>
  <si>
    <t>Sroka</t>
  </si>
  <si>
    <t>Wanda</t>
  </si>
  <si>
    <t>Bielsko Biała</t>
  </si>
  <si>
    <t>Srokowska</t>
  </si>
  <si>
    <t>Izabella</t>
  </si>
  <si>
    <t>Poznań</t>
  </si>
  <si>
    <t>Szablewska</t>
  </si>
  <si>
    <t>Monika</t>
  </si>
  <si>
    <t>Szafko</t>
  </si>
  <si>
    <t>Radosław</t>
  </si>
  <si>
    <t>Wrocław</t>
  </si>
  <si>
    <t>Szkudlarek</t>
  </si>
  <si>
    <t>Brześć</t>
  </si>
  <si>
    <t>Szymański</t>
  </si>
  <si>
    <t>Czerniakrobek</t>
  </si>
  <si>
    <t>rosyjski</t>
  </si>
  <si>
    <t>Szymczak</t>
  </si>
  <si>
    <t>Janusz</t>
  </si>
  <si>
    <t>Śliwińska</t>
  </si>
  <si>
    <t>Taukin</t>
  </si>
  <si>
    <t>Karina</t>
  </si>
  <si>
    <t>Katarzyna</t>
  </si>
  <si>
    <t>Tokarczuk</t>
  </si>
  <si>
    <t>Agata</t>
  </si>
  <si>
    <t>Brzeg Dolny</t>
  </si>
  <si>
    <t>Trela</t>
  </si>
  <si>
    <t>Turski</t>
  </si>
  <si>
    <t>Twardowski</t>
  </si>
  <si>
    <t>Tymicz</t>
  </si>
  <si>
    <t>Zenon</t>
  </si>
  <si>
    <t>Wierzbicki</t>
  </si>
  <si>
    <t>Wiśniewska</t>
  </si>
  <si>
    <t>Chełmża</t>
  </si>
  <si>
    <t>hiszpański, angielski</t>
  </si>
  <si>
    <t>Wojciechowska</t>
  </si>
  <si>
    <t>Wojciechowski</t>
  </si>
  <si>
    <t>Wojtas</t>
  </si>
  <si>
    <t>Ewelina</t>
  </si>
  <si>
    <t>Resko</t>
  </si>
  <si>
    <t>Wojtyła</t>
  </si>
  <si>
    <t>Piaski</t>
  </si>
  <si>
    <t>Wójcicki</t>
  </si>
  <si>
    <t>Kamil</t>
  </si>
  <si>
    <t>Wysocki</t>
  </si>
  <si>
    <t>Rafał</t>
  </si>
  <si>
    <t>Burzenin</t>
  </si>
  <si>
    <t>krojniczy</t>
  </si>
  <si>
    <t>Zabawa</t>
  </si>
  <si>
    <t>Krzysztof</t>
  </si>
  <si>
    <t>hiszpański, francuski</t>
  </si>
  <si>
    <t>specjalista</t>
  </si>
  <si>
    <t>Zalewski</t>
  </si>
  <si>
    <t>Robert</t>
  </si>
  <si>
    <t>Cieplice Śląskie-Zdrój</t>
  </si>
  <si>
    <t>Żakowski</t>
  </si>
  <si>
    <t>(Wszystko)</t>
  </si>
  <si>
    <t>ŚREDNIA NA DZIAŁ</t>
  </si>
  <si>
    <t>SUMA DZIAŁU</t>
  </si>
  <si>
    <t>KADRY ŚREDNIA</t>
  </si>
  <si>
    <t>MAGAZYN ŚREDNIA</t>
  </si>
  <si>
    <t>PRODUKCJA ŚREDNIA</t>
  </si>
  <si>
    <t>TRANSPORT ŚREDNIA</t>
  </si>
  <si>
    <t>Suma z Rocznie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</si>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</sst>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8">
    <font>
      <sz val="11"/>
      <color theme="1"/>
      <name val="Calibri"/>
      <family val="2"/>
      <scheme val="minor"/>
    </font>
    <font>
      <b/>
      <sz val="11"/>
      <name val="Aptos Narrow"/>
      <family val="2"/>
      <charset val="238"/>
    </font>
    <font>
      <sz val="11"/>
      <color rgb="FF000000"/>
      <name val="Aptos Narrow"/>
      <family val="2"/>
      <charset val="238"/>
    </font>
    <font>
      <b/>
      <sz val="11"/>
      <color theme="1"/>
      <name val="Calibri"/>
      <family val="2"/>
      <scheme val="minor"/>
    </font>
    <font>
      <b/>
      <sz val="11"/>
      <color rgb="FFFF0000"/>
      <name val="Aptos Narrow"/>
      <family val="2"/>
      <charset val="238"/>
    </font>
    <font>
      <sz val="11"/>
      <color rgb="FFFF0000"/>
      <name val="Calibri"/>
      <family val="2"/>
      <scheme val="minor"/>
    </font>
    <font>
      <sz val="11"/>
      <color rgb="FFFF0000"/>
      <name val="Aptos Narrow"/>
      <family val="2"/>
      <charset val="238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/>
    <xf numFmtId="3" fontId="2" fillId="0" borderId="1" xfId="0" applyNumberFormat="1" applyFont="1" applyFill="1" applyBorder="1" applyAlignment="1"/>
    <xf numFmtId="0" fontId="0" fillId="0" borderId="0" xfId="0" pivotButton="1"/>
    <xf numFmtId="3" fontId="0" fillId="0" borderId="0" xfId="0" applyNumberForma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14" fontId="2" fillId="3" borderId="4" xfId="0" applyNumberFormat="1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14" fontId="2" fillId="0" borderId="4" xfId="0" applyNumberFormat="1" applyFont="1" applyBorder="1" applyAlignment="1"/>
    <xf numFmtId="0" fontId="2" fillId="0" borderId="0" xfId="0" applyFont="1" applyFill="1" applyBorder="1" applyAlignment="1"/>
    <xf numFmtId="164" fontId="2" fillId="3" borderId="4" xfId="0" applyNumberFormat="1" applyFont="1" applyFill="1" applyBorder="1" applyAlignment="1"/>
    <xf numFmtId="164" fontId="2" fillId="0" borderId="4" xfId="0" applyNumberFormat="1" applyFont="1" applyBorder="1" applyAlignment="1"/>
    <xf numFmtId="0" fontId="2" fillId="0" borderId="0" xfId="0" applyFont="1" applyFill="1" applyAlignment="1"/>
    <xf numFmtId="164" fontId="2" fillId="0" borderId="0" xfId="0" applyNumberFormat="1" applyFont="1" applyFill="1" applyBorder="1" applyAlignment="1"/>
    <xf numFmtId="0" fontId="1" fillId="4" borderId="0" xfId="0" applyFont="1" applyFill="1" applyBorder="1" applyAlignment="1"/>
    <xf numFmtId="0" fontId="1" fillId="4" borderId="0" xfId="0" applyFont="1" applyFill="1" applyAlignment="1"/>
    <xf numFmtId="0" fontId="3" fillId="4" borderId="0" xfId="0" applyFont="1" applyFill="1"/>
    <xf numFmtId="0" fontId="0" fillId="0" borderId="0" xfId="0" applyFill="1"/>
    <xf numFmtId="0" fontId="4" fillId="0" borderId="0" xfId="0" applyFont="1" applyFill="1" applyBorder="1" applyAlignment="1"/>
    <xf numFmtId="0" fontId="5" fillId="0" borderId="0" xfId="0" applyFont="1" applyFill="1" applyBorder="1"/>
    <xf numFmtId="0" fontId="6" fillId="0" borderId="0" xfId="0" applyFont="1" applyFill="1" applyBorder="1" applyAlignment="1"/>
    <xf numFmtId="3" fontId="6" fillId="0" borderId="0" xfId="0" applyNumberFormat="1" applyFont="1" applyFill="1" applyBorder="1" applyAlignment="1"/>
    <xf numFmtId="3" fontId="5" fillId="0" borderId="0" xfId="0" applyNumberFormat="1" applyFont="1" applyFill="1" applyBorder="1"/>
    <xf numFmtId="0" fontId="0" fillId="0" borderId="0" xfId="0" applyFill="1" applyBorder="1"/>
    <xf numFmtId="3" fontId="0" fillId="0" borderId="0" xfId="0" applyNumberFormat="1" applyFill="1" applyBorder="1"/>
    <xf numFmtId="0" fontId="1" fillId="0" borderId="0" xfId="0" applyFont="1" applyFill="1" applyBorder="1" applyAlignment="1"/>
    <xf numFmtId="14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7" fillId="0" borderId="0" xfId="0" applyFont="1"/>
    <xf numFmtId="164" fontId="0" fillId="5" borderId="2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164" fontId="0" fillId="0" borderId="0" xfId="0" applyNumberFormat="1"/>
    <xf numFmtId="0" fontId="0" fillId="0" borderId="0" xfId="0" applyFill="1" applyAlignment="1">
      <alignment wrapText="1"/>
    </xf>
    <xf numFmtId="0" fontId="1" fillId="4" borderId="7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7" fillId="0" borderId="0" xfId="0" applyFont="1" applyAlignment="1">
      <alignment wrapText="1"/>
    </xf>
  </cellXfs>
  <cellStyles count="1">
    <cellStyle name="Normalny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164" formatCode="#,##0.00\ &quot;zł&quot;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rgb="FF44B3E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0" indent="0" justifyLastLine="0" shrinkToFit="0" readingOrder="0"/>
    </dxf>
    <dxf>
      <numFmt numFmtId="35" formatCode="_-* #,##0.00_-;\-* #,##0.00_-;_-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średnie płace w poszczególnych działach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{"Wartości Liczbowe"}</c:f>
              <c:strCache>
                <c:ptCount val="1"/>
                <c:pt idx="0">
                  <c:v>Wartości Liczbowe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cat>
            <c:strRef>
              <c:f>wykres!$F$2:$I$2</c:f>
              <c:strCache>
                <c:ptCount val="4"/>
                <c:pt idx="0">
                  <c:v>KADRY ŚREDNIA</c:v>
                </c:pt>
                <c:pt idx="1">
                  <c:v>MAGAZYN ŚREDNIA</c:v>
                </c:pt>
                <c:pt idx="2">
                  <c:v>PRODUKCJA ŚREDNIA</c:v>
                </c:pt>
                <c:pt idx="3">
                  <c:v>TRANSPORT ŚREDNIA</c:v>
                </c:pt>
              </c:strCache>
            </c:strRef>
          </c:cat>
          <c:val>
            <c:numRef>
              <c:f>wykres!$F$3:$I$3</c:f>
              <c:numCache>
                <c:formatCode>#,##0.00\ "zł"</c:formatCode>
                <c:ptCount val="4"/>
                <c:pt idx="0">
                  <c:v>87550</c:v>
                </c:pt>
                <c:pt idx="1">
                  <c:v>93300</c:v>
                </c:pt>
                <c:pt idx="2">
                  <c:v>100575</c:v>
                </c:pt>
                <c:pt idx="3">
                  <c:v>89824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B-435B-8502-BE63A1C8E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3"/>
        <c:axId val="1716382728"/>
        <c:axId val="1716392968"/>
      </c:barChart>
      <c:catAx>
        <c:axId val="171638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92968"/>
        <c:crosses val="autoZero"/>
        <c:auto val="1"/>
        <c:lblAlgn val="ctr"/>
        <c:lblOffset val="100"/>
        <c:noMultiLvlLbl val="0"/>
      </c:catAx>
      <c:valAx>
        <c:axId val="171639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82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75717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4</xdr:row>
      <xdr:rowOff>47625</xdr:rowOff>
    </xdr:from>
    <xdr:to>
      <xdr:col>8</xdr:col>
      <xdr:colOff>1762125</xdr:colOff>
      <xdr:row>18</xdr:row>
      <xdr:rowOff>123825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332309C-112F-6C01-B25E-EE4686C2CC1D}"/>
            </a:ext>
            <a:ext uri="{147F2762-F138-4A5C-976F-8EAC2B608ADB}">
              <a16:predDERef xmlns:a16="http://schemas.microsoft.com/office/drawing/2014/main" pred="{8AF4324C-D7D8-C412-B974-B35F69373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444462847219" createdVersion="8" refreshedVersion="8" minRefreshableVersion="3" recordCount="120" xr:uid="{AA28EAB9-8591-4FDF-97CB-88F4188DCE80}">
  <cacheSource type="worksheet">
    <worksheetSource name="Tabela1"/>
  </cacheSource>
  <cacheFields count="13">
    <cacheField name="Lp" numFmtId="0">
      <sharedItems containsSemiMixedTypes="0" containsString="0" containsNumber="1" containsInteger="1" minValue="1" maxValue="120"/>
    </cacheField>
    <cacheField name="Nazwisko" numFmtId="0">
      <sharedItems/>
    </cacheField>
    <cacheField name="Imie" numFmtId="0">
      <sharedItems/>
    </cacheField>
    <cacheField name="data_ur" numFmtId="14">
      <sharedItems containsSemiMixedTypes="0" containsNonDate="0" containsDate="1" containsString="0" minDate="1957-10-11T00:00:00" maxDate="2005-02-24T00:00:00"/>
    </cacheField>
    <cacheField name="miejsce_ur" numFmtId="0">
      <sharedItems/>
    </cacheField>
    <cacheField name="miejscowosc" numFmtId="0">
      <sharedItems/>
    </cacheField>
    <cacheField name="żona/mąż" numFmtId="0">
      <sharedItems/>
    </cacheField>
    <cacheField name="dzieci" numFmtId="0">
      <sharedItems containsSemiMixedTypes="0" containsString="0" containsNumber="1" containsInteger="1" minValue="0" maxValue="6"/>
    </cacheField>
    <cacheField name="jezyk" numFmtId="0">
      <sharedItems/>
    </cacheField>
    <cacheField name="zatrudniony" numFmtId="14">
      <sharedItems containsSemiMixedTypes="0" containsNonDate="0" containsDate="1" containsString="0" minDate="2006-03-19T00:00:00" maxDate="2014-08-23T00:00:00"/>
    </cacheField>
    <cacheField name="dzial" numFmtId="0">
      <sharedItems count="6">
        <s v="kadry"/>
        <s v="produkcja"/>
        <s v="transport"/>
        <s v="zaopatrzenie"/>
        <s v="magazyn"/>
        <s v="kadry "/>
      </sharedItems>
    </cacheField>
    <cacheField name="stanowisko" numFmtId="0">
      <sharedItems count="13">
        <s v="referent"/>
        <s v="krawcowa"/>
        <s v="z-ca dyrektora"/>
        <s v="kierowca"/>
        <s v="wykrawacz"/>
        <s v="zaopatrzeniowiec"/>
        <s v="prasowacz"/>
        <s v="magazynier"/>
        <s v="księgowa"/>
        <s v="dyrektor"/>
        <s v="dyspozytor"/>
        <s v="krojniczy"/>
        <s v="specjalista"/>
      </sharedItems>
    </cacheField>
    <cacheField name="Rocznie" numFmtId="3">
      <sharedItems containsSemiMixedTypes="0" containsString="0" containsNumber="1" containsInteger="1" minValue="51940" maxValue="186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503778935185" createdVersion="8" refreshedVersion="8" minRefreshableVersion="3" recordCount="120" xr:uid="{8DF59A10-78D8-4B82-A4E2-34CA4477A2F4}">
  <cacheSource type="worksheet">
    <worksheetSource name="Tabela3"/>
  </cacheSource>
  <cacheFields count="2">
    <cacheField name="dzial" numFmtId="0">
      <sharedItems count="6">
        <s v="kadry"/>
        <s v="produkcja"/>
        <s v="transport"/>
        <s v="zaopatrzenie"/>
        <s v="magazyn"/>
        <s v="kadry "/>
      </sharedItems>
    </cacheField>
    <cacheField name="Rocznie" numFmtId="164">
      <sharedItems containsSemiMixedTypes="0" containsString="0" containsNumber="1" containsInteger="1" minValue="51940" maxValue="186556" count="63">
        <n v="83269"/>
        <n v="98185"/>
        <n v="63283"/>
        <n v="186556"/>
        <n v="125380"/>
        <n v="92650"/>
        <n v="70726"/>
        <n v="74200"/>
        <n v="92290"/>
        <n v="97690"/>
        <n v="79600"/>
        <n v="100420"/>
        <n v="56995"/>
        <n v="83200"/>
        <n v="127018"/>
        <n v="73000"/>
        <n v="114760"/>
        <n v="91996"/>
        <n v="118900"/>
        <n v="105044"/>
        <n v="66760"/>
        <n v="174340"/>
        <n v="118330"/>
        <n v="108976"/>
        <n v="80185"/>
        <n v="73750"/>
        <n v="113680"/>
        <n v="83500"/>
        <n v="127900"/>
        <n v="58990"/>
        <n v="73720"/>
        <n v="63130"/>
        <n v="136000"/>
        <n v="103240"/>
        <n v="66700"/>
        <n v="86500"/>
        <n v="75400"/>
        <n v="94720"/>
        <n v="154780"/>
        <n v="83074"/>
        <n v="94729"/>
        <n v="51940"/>
        <n v="62920"/>
        <n v="124822"/>
        <n v="148864"/>
        <n v="76018"/>
        <n v="120250"/>
        <n v="88726"/>
        <n v="120100"/>
        <n v="116440"/>
        <n v="53254"/>
        <n v="73900"/>
        <n v="76120"/>
        <n v="59944"/>
        <n v="84316"/>
        <n v="125044"/>
        <n v="73930"/>
        <n v="81838"/>
        <n v="68864"/>
        <n v="76600"/>
        <n v="53650"/>
        <n v="138010"/>
        <n v="989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s v="Adranowicz"/>
    <s v="Halina"/>
    <d v="1995-07-22T00:00:00"/>
    <s v="Skierniewice"/>
    <s v="Chełm"/>
    <s v="tak"/>
    <n v="3"/>
    <s v="angielski"/>
    <d v="2009-07-27T00:00:00"/>
    <x v="0"/>
    <x v="0"/>
    <n v="83269"/>
  </r>
  <r>
    <n v="2"/>
    <s v="Andrzejczak"/>
    <s v="Agnieszka"/>
    <d v="1996-09-10T00:00:00"/>
    <s v="Szczecin"/>
    <s v="Chojna"/>
    <s v="nie"/>
    <n v="0"/>
    <s v="niemiecki, angielski"/>
    <d v="2007-09-15T00:00:00"/>
    <x v="0"/>
    <x v="0"/>
    <n v="98185"/>
  </r>
  <r>
    <n v="3"/>
    <s v="Andrzejczak"/>
    <s v="Helena"/>
    <d v="1979-04-13T00:00:00"/>
    <s v="Pyrzyce"/>
    <s v="Świdnik"/>
    <s v="tak"/>
    <n v="4"/>
    <s v="angielski"/>
    <d v="2012-11-27T00:00:00"/>
    <x v="1"/>
    <x v="1"/>
    <n v="63283"/>
  </r>
  <r>
    <n v="4"/>
    <s v="Banasiak"/>
    <s v="Agnieszka"/>
    <d v="1991-02-24T00:00:00"/>
    <s v="Choszczno"/>
    <s v="Biała Podlaska"/>
    <s v="tak"/>
    <n v="5"/>
    <s v=" "/>
    <d v="2006-03-30T00:00:00"/>
    <x v="1"/>
    <x v="2"/>
    <n v="186556"/>
  </r>
  <r>
    <n v="5"/>
    <s v="Banasiak"/>
    <s v="Feliks"/>
    <d v="1987-04-29T00:00:00"/>
    <s v="Choszczno"/>
    <s v="Banie"/>
    <s v="tak"/>
    <n v="2"/>
    <s v="niemiecki "/>
    <d v="2009-03-03T00:00:00"/>
    <x v="1"/>
    <x v="1"/>
    <n v="125380"/>
  </r>
  <r>
    <n v="6"/>
    <s v="Banaszak"/>
    <s v="Aleksander"/>
    <d v="1979-01-19T00:00:00"/>
    <s v="Wałcz"/>
    <s v="Świdnik"/>
    <s v="tak"/>
    <n v="2"/>
    <s v="niemiecki"/>
    <d v="2011-06-09T00:00:00"/>
    <x v="2"/>
    <x v="3"/>
    <n v="92650"/>
  </r>
  <r>
    <n v="7"/>
    <s v="Biedrzycki"/>
    <s v="Zbigniew"/>
    <d v="1976-05-15T00:00:00"/>
    <s v="Boguszów"/>
    <s v="Biała Podlaska"/>
    <s v="tak"/>
    <n v="2"/>
    <s v="francuski, angielski"/>
    <d v="2013-01-26T00:00:00"/>
    <x v="0"/>
    <x v="0"/>
    <n v="70726"/>
  </r>
  <r>
    <n v="8"/>
    <s v="Bogucewicz"/>
    <s v="Cecylia"/>
    <d v="1973-09-06T00:00:00"/>
    <s v="Bydgoszcz"/>
    <s v="Bydgoszcz"/>
    <s v="tak"/>
    <n v="0"/>
    <s v="niemiecki"/>
    <d v="2011-05-21T00:00:00"/>
    <x v="1"/>
    <x v="4"/>
    <n v="74200"/>
  </r>
  <r>
    <n v="9"/>
    <s v="Bogusławski"/>
    <s v="Karol"/>
    <d v="1978-10-22T00:00:00"/>
    <s v="Łódź"/>
    <s v="Bydgoszcz"/>
    <s v="tak"/>
    <n v="2"/>
    <s v="hiszpański"/>
    <d v="2008-09-16T00:00:00"/>
    <x v="1"/>
    <x v="1"/>
    <n v="92290"/>
  </r>
  <r>
    <n v="10"/>
    <s v="Borkowski "/>
    <s v="Stanisław"/>
    <d v="1977-04-25T00:00:00"/>
    <s v="Szczecin"/>
    <s v="Bydgoszcz"/>
    <s v="tak"/>
    <n v="4"/>
    <s v="angielski"/>
    <d v="2006-05-07T00:00:00"/>
    <x v="1"/>
    <x v="1"/>
    <n v="63283"/>
  </r>
  <r>
    <n v="11"/>
    <s v="Bugalska"/>
    <s v="Ewa"/>
    <d v="1972-07-21T00:00:00"/>
    <s v="Bydgoszcz"/>
    <s v="Banie"/>
    <s v="nie"/>
    <n v="3"/>
    <s v="angielski, rosyjski"/>
    <d v="2013-04-28T00:00:00"/>
    <x v="2"/>
    <x v="3"/>
    <n v="97690"/>
  </r>
  <r>
    <n v="12"/>
    <s v="Bugalski"/>
    <s v="Leszek"/>
    <d v="1983-03-24T00:00:00"/>
    <s v="Barlinek"/>
    <s v="Bydgoszcz"/>
    <s v="tak"/>
    <n v="1"/>
    <s v="angielski"/>
    <d v="2008-09-18T00:00:00"/>
    <x v="3"/>
    <x v="5"/>
    <n v="79600"/>
  </r>
  <r>
    <n v="13"/>
    <s v="Chojnacka"/>
    <s v="Edyta"/>
    <d v="1980-09-01T00:00:00"/>
    <s v="Chełm"/>
    <s v="Biała Podlaska"/>
    <s v="tak"/>
    <n v="2"/>
    <s v="angielski"/>
    <d v="2013-05-02T00:00:00"/>
    <x v="0"/>
    <x v="0"/>
    <n v="83269"/>
  </r>
  <r>
    <n v="14"/>
    <s v="Cichocki"/>
    <s v="Marian"/>
    <d v="1983-11-06T00:00:00"/>
    <s v="Czarnków"/>
    <s v="Biała Podlaska"/>
    <s v="tak"/>
    <n v="0"/>
    <s v="angielski"/>
    <d v="2008-12-20T00:00:00"/>
    <x v="0"/>
    <x v="0"/>
    <n v="100420"/>
  </r>
  <r>
    <n v="15"/>
    <s v="Cieślak"/>
    <s v="Małgorzata"/>
    <d v="1977-04-19T00:00:00"/>
    <s v="Chorzów"/>
    <s v="Chełm"/>
    <s v="tak"/>
    <n v="1"/>
    <s v="angielski"/>
    <d v="2009-02-26T00:00:00"/>
    <x v="1"/>
    <x v="6"/>
    <n v="79600"/>
  </r>
  <r>
    <n v="16"/>
    <s v="Cieślewicz"/>
    <s v="Magdalena"/>
    <d v="1977-03-03T00:00:00"/>
    <s v="Szczecin"/>
    <s v="Chojna"/>
    <s v="tak"/>
    <n v="1"/>
    <s v="francuski"/>
    <d v="2007-08-23T00:00:00"/>
    <x v="0"/>
    <x v="0"/>
    <n v="79600"/>
  </r>
  <r>
    <n v="17"/>
    <s v="Dańczura"/>
    <s v="Paweł"/>
    <d v="1971-10-21T00:00:00"/>
    <s v="Szczecin"/>
    <s v="Chełm"/>
    <s v="tak"/>
    <n v="3"/>
    <s v="angielski"/>
    <d v="2008-04-27T00:00:00"/>
    <x v="1"/>
    <x v="6"/>
    <n v="56995"/>
  </r>
  <r>
    <n v="18"/>
    <s v="Długosz"/>
    <s v="Aneta"/>
    <d v="1984-02-06T00:00:00"/>
    <s v="Bydgoszcz"/>
    <s v="Radom"/>
    <s v="tak"/>
    <n v="3"/>
    <s v="niemiecki"/>
    <d v="2009-04-13T00:00:00"/>
    <x v="4"/>
    <x v="7"/>
    <n v="83200"/>
  </r>
  <r>
    <n v="19"/>
    <s v="Długosz"/>
    <s v="Ludwik"/>
    <d v="1980-11-12T00:00:00"/>
    <s v="Cedynia"/>
    <s v="Cedynia"/>
    <s v="tak"/>
    <n v="2"/>
    <s v=" "/>
    <d v="2011-04-27T00:00:00"/>
    <x v="1"/>
    <x v="6"/>
    <n v="127018"/>
  </r>
  <r>
    <n v="20"/>
    <s v="Dragon"/>
    <s v="Józef"/>
    <d v="1983-03-24T00:00:00"/>
    <s v="Białogard"/>
    <s v="Cedynia"/>
    <s v="tak"/>
    <n v="1"/>
    <s v=" "/>
    <d v="2009-03-08T00:00:00"/>
    <x v="0"/>
    <x v="8"/>
    <n v="73000"/>
  </r>
  <r>
    <n v="21"/>
    <s v="Dziuba"/>
    <s v="Bożena"/>
    <d v="1976-02-22T00:00:00"/>
    <s v="Bolesławiec"/>
    <s v="Biała Podlaska"/>
    <s v="tak"/>
    <n v="3"/>
    <s v="niemiecki"/>
    <d v="2012-05-20T00:00:00"/>
    <x v="0"/>
    <x v="0"/>
    <n v="114760"/>
  </r>
  <r>
    <n v="22"/>
    <s v="Ejsmont"/>
    <s v="Barbara"/>
    <d v="1965-11-19T00:00:00"/>
    <s v="Chojna"/>
    <s v="Biała Podlaska"/>
    <s v="tak"/>
    <n v="1"/>
    <s v="francuski"/>
    <d v="2011-08-26T00:00:00"/>
    <x v="0"/>
    <x v="0"/>
    <n v="79600"/>
  </r>
  <r>
    <n v="23"/>
    <s v="Engel"/>
    <s v="Piotr"/>
    <d v="1975-09-11T00:00:00"/>
    <s v="Szczecin"/>
    <s v="Chełm"/>
    <s v="tak"/>
    <n v="2"/>
    <s v="niemiecki"/>
    <d v="2008-01-23T00:00:00"/>
    <x v="1"/>
    <x v="6"/>
    <n v="125380"/>
  </r>
  <r>
    <n v="24"/>
    <s v="Falkiewicz"/>
    <s v="Stefan"/>
    <d v="1976-12-28T00:00:00"/>
    <s v="Szczecin"/>
    <s v="Chojna"/>
    <s v="tak"/>
    <n v="1"/>
    <s v="hiszpański"/>
    <d v="2007-10-15T00:00:00"/>
    <x v="0"/>
    <x v="0"/>
    <n v="91996"/>
  </r>
  <r>
    <n v="25"/>
    <s v="Fedorowicz"/>
    <s v="Ewa"/>
    <d v="1994-11-14T00:00:00"/>
    <s v="Czechowice"/>
    <s v="Chełm"/>
    <s v="tak"/>
    <n v="2"/>
    <s v=" "/>
    <d v="2008-02-19T00:00:00"/>
    <x v="1"/>
    <x v="6"/>
    <n v="127018"/>
  </r>
  <r>
    <n v="26"/>
    <s v="Filipczyk"/>
    <s v="Czesław"/>
    <d v="1994-01-23T00:00:00"/>
    <s v="Chociwel"/>
    <s v="Biała Podlaska"/>
    <s v="tak"/>
    <n v="1"/>
    <s v="niemiecki"/>
    <d v="2008-08-29T00:00:00"/>
    <x v="1"/>
    <x v="6"/>
    <n v="118900"/>
  </r>
  <r>
    <n v="27"/>
    <s v="Filipek"/>
    <s v="Teresa"/>
    <d v="1972-09-11T00:00:00"/>
    <s v="Pabianice"/>
    <s v="Bydgoszcz"/>
    <s v="nie"/>
    <n v="0"/>
    <s v="angielski"/>
    <d v="2009-03-26T00:00:00"/>
    <x v="1"/>
    <x v="1"/>
    <n v="105044"/>
  </r>
  <r>
    <n v="28"/>
    <s v="Fudaj"/>
    <s v="Paulina"/>
    <d v="1979-12-18T00:00:00"/>
    <s v="Świdnica"/>
    <s v="Chełm"/>
    <s v="tak"/>
    <n v="1"/>
    <s v="angielski, rosyjski"/>
    <d v="2009-05-04T00:00:00"/>
    <x v="0"/>
    <x v="0"/>
    <n v="66760"/>
  </r>
  <r>
    <n v="29"/>
    <s v="Futerska"/>
    <s v="Paulina"/>
    <d v="1973-10-15T00:00:00"/>
    <s v="Żywiec"/>
    <s v="Chełm"/>
    <s v="tak"/>
    <n v="1"/>
    <s v="niemiecki"/>
    <d v="2008-04-26T00:00:00"/>
    <x v="1"/>
    <x v="6"/>
    <n v="118900"/>
  </r>
  <r>
    <n v="30"/>
    <s v="Gad"/>
    <s v="Justyna"/>
    <d v="1974-01-20T00:00:00"/>
    <s v="Stalowa Wola"/>
    <s v="Pabianice"/>
    <s v="tak"/>
    <n v="3"/>
    <s v="niemiecki"/>
    <d v="2009-05-05T00:00:00"/>
    <x v="0"/>
    <x v="0"/>
    <n v="114760"/>
  </r>
  <r>
    <n v="31"/>
    <s v="Gajewska "/>
    <s v="Grażyna"/>
    <d v="1977-03-02T00:00:00"/>
    <s v="Szczecin"/>
    <s v="Brodnica"/>
    <s v="tak"/>
    <n v="5"/>
    <s v="niemiecki"/>
    <d v="2008-03-07T00:00:00"/>
    <x v="4"/>
    <x v="7"/>
    <n v="83200"/>
  </r>
  <r>
    <n v="32"/>
    <s v="Ginalski"/>
    <s v="Józef"/>
    <d v="1987-04-02T00:00:00"/>
    <s v="Chełm"/>
    <s v="Banie"/>
    <s v="tak"/>
    <n v="0"/>
    <s v=" "/>
    <d v="2008-01-26T00:00:00"/>
    <x v="1"/>
    <x v="9"/>
    <n v="174340"/>
  </r>
  <r>
    <n v="33"/>
    <s v="Góralczyk"/>
    <s v="Wojciech"/>
    <d v="1985-04-13T00:00:00"/>
    <s v="Białogard"/>
    <s v="Cedynia"/>
    <s v="tak"/>
    <n v="1"/>
    <s v="niemiecki, hiszpański"/>
    <d v="2009-02-23T00:00:00"/>
    <x v="3"/>
    <x v="7"/>
    <n v="118330"/>
  </r>
  <r>
    <n v="34"/>
    <s v="Grabowski"/>
    <s v="Jacek"/>
    <d v="1998-11-28T00:00:00"/>
    <s v="Bogdaniec"/>
    <s v="Nowa Sól"/>
    <s v="tak"/>
    <n v="1"/>
    <s v="angielski"/>
    <d v="2009-04-25T00:00:00"/>
    <x v="1"/>
    <x v="1"/>
    <n v="108976"/>
  </r>
  <r>
    <n v="35"/>
    <s v="Gruca"/>
    <s v="Grzegorz"/>
    <d v="1965-04-17T00:00:00"/>
    <s v="Kleszczele"/>
    <s v="Świdnik"/>
    <s v="tak"/>
    <n v="0"/>
    <s v="niemiecki"/>
    <d v="2011-08-25T00:00:00"/>
    <x v="0"/>
    <x v="0"/>
    <n v="80185"/>
  </r>
  <r>
    <n v="36"/>
    <s v="Gruca"/>
    <s v="Cezary"/>
    <d v="1971-10-08T00:00:00"/>
    <s v="Chojna"/>
    <s v="Banie"/>
    <s v="tak"/>
    <n v="5"/>
    <s v="niemiecki"/>
    <d v="2013-01-26T00:00:00"/>
    <x v="2"/>
    <x v="3"/>
    <n v="73750"/>
  </r>
  <r>
    <n v="37"/>
    <s v="Gruca"/>
    <s v="Helena"/>
    <d v="1976-08-25T00:00:00"/>
    <s v="Chełmno"/>
    <s v="Biała Podlaska"/>
    <s v="nie"/>
    <n v="2"/>
    <s v="angielski"/>
    <d v="2014-05-23T00:00:00"/>
    <x v="0"/>
    <x v="0"/>
    <n v="113680"/>
  </r>
  <r>
    <n v="38"/>
    <s v="Henkelman"/>
    <s v="Agnieszka"/>
    <d v="1976-11-29T00:00:00"/>
    <s v="Świnoujście"/>
    <s v="Piotrowice"/>
    <s v="tak"/>
    <n v="2"/>
    <s v="angielski"/>
    <d v="2007-10-15T00:00:00"/>
    <x v="2"/>
    <x v="3"/>
    <n v="83500"/>
  </r>
  <r>
    <n v="39"/>
    <s v="Jagielska"/>
    <s v="Ewa"/>
    <d v="1974-07-09T00:00:00"/>
    <s v="Szczecin"/>
    <s v="Frombork"/>
    <s v="tak"/>
    <n v="2"/>
    <s v="niemiecki, rosyjski"/>
    <d v="2008-08-25T00:00:00"/>
    <x v="0"/>
    <x v="0"/>
    <n v="127900"/>
  </r>
  <r>
    <n v="40"/>
    <s v="Janowska"/>
    <s v="Maria"/>
    <d v="1973-09-01T00:00:00"/>
    <s v="Abramów"/>
    <s v="Białystok"/>
    <s v="tak"/>
    <n v="1"/>
    <s v="angielski"/>
    <d v="2007-08-19T00:00:00"/>
    <x v="0"/>
    <x v="0"/>
    <n v="100420"/>
  </r>
  <r>
    <n v="41"/>
    <s v="Kacprzyk"/>
    <s v="Dominika"/>
    <d v="1976-05-14T00:00:00"/>
    <s v="Brodnica"/>
    <s v="Biała Podlaska"/>
    <s v="tak"/>
    <n v="1"/>
    <s v="angielski"/>
    <d v="2012-12-28T00:00:00"/>
    <x v="5"/>
    <x v="0"/>
    <n v="58990"/>
  </r>
  <r>
    <n v="42"/>
    <s v="Kacprzyk"/>
    <s v="Cecylia"/>
    <d v="1958-08-06T00:00:00"/>
    <s v="Warszawa"/>
    <s v="Świdnik"/>
    <s v="tak"/>
    <n v="3"/>
    <s v="angielski"/>
    <d v="2013-03-23T00:00:00"/>
    <x v="1"/>
    <x v="6"/>
    <n v="73720"/>
  </r>
  <r>
    <n v="43"/>
    <s v="Karczewska"/>
    <s v="Kamila"/>
    <d v="1981-01-14T00:00:00"/>
    <s v="Szczecin"/>
    <s v="Bydgoszcz"/>
    <s v="tak"/>
    <n v="3"/>
    <s v="niemiecki"/>
    <d v="2006-04-27T00:00:00"/>
    <x v="1"/>
    <x v="1"/>
    <n v="63130"/>
  </r>
  <r>
    <n v="44"/>
    <s v="Koszel"/>
    <s v="Anna"/>
    <d v="1979-05-24T00:00:00"/>
    <s v="Stargard"/>
    <s v="Piotrowice"/>
    <s v="tak"/>
    <n v="3"/>
    <s v="angielski"/>
    <d v="2006-04-01T00:00:00"/>
    <x v="1"/>
    <x v="4"/>
    <n v="73720"/>
  </r>
  <r>
    <n v="45"/>
    <s v="Kowalska"/>
    <s v="Kamila"/>
    <d v="1974-02-14T00:00:00"/>
    <s v="Bytom"/>
    <s v="Chojnice"/>
    <s v="tak"/>
    <n v="1"/>
    <s v=" "/>
    <d v="2008-03-31T00:00:00"/>
    <x v="1"/>
    <x v="1"/>
    <n v="136000"/>
  </r>
  <r>
    <n v="46"/>
    <s v="Kowalski"/>
    <s v="Jan"/>
    <d v="1976-02-05T00:00:00"/>
    <s v="Szczecin"/>
    <s v="Bydgoszcz"/>
    <s v="tak"/>
    <n v="1"/>
    <s v="niemiecki"/>
    <d v="2006-08-26T00:00:00"/>
    <x v="1"/>
    <x v="1"/>
    <n v="103240"/>
  </r>
  <r>
    <n v="47"/>
    <s v="Kowalski"/>
    <s v="Jan"/>
    <d v="1983-07-30T00:00:00"/>
    <s v="Gryfino"/>
    <s v="Piotrowice"/>
    <s v="tak"/>
    <n v="4"/>
    <s v="niemiecki"/>
    <d v="2008-07-28T00:00:00"/>
    <x v="2"/>
    <x v="3"/>
    <n v="73750"/>
  </r>
  <r>
    <n v="48"/>
    <s v="Kozłowska"/>
    <s v="Anna"/>
    <d v="1979-12-30T00:00:00"/>
    <s v="Szczecin"/>
    <s v="Olsztyn"/>
    <s v="nie"/>
    <n v="2"/>
    <s v="angielski"/>
    <d v="2006-06-29T00:00:00"/>
    <x v="0"/>
    <x v="0"/>
    <n v="113680"/>
  </r>
  <r>
    <n v="49"/>
    <s v="Krajewska"/>
    <s v="Lucyna"/>
    <d v="1990-05-21T00:00:00"/>
    <s v="Bylew"/>
    <s v="Cedynia"/>
    <s v="tak"/>
    <n v="1"/>
    <s v="niemiecki"/>
    <d v="2008-06-03T00:00:00"/>
    <x v="1"/>
    <x v="1"/>
    <n v="103240"/>
  </r>
  <r>
    <n v="50"/>
    <s v="Kremicz"/>
    <s v="Anna"/>
    <d v="1958-12-05T00:00:00"/>
    <s v="Dobrzany"/>
    <s v="Świdnik"/>
    <s v="tak"/>
    <n v="3"/>
    <s v="angielski"/>
    <d v="2007-08-16T00:00:00"/>
    <x v="3"/>
    <x v="5"/>
    <n v="66700"/>
  </r>
  <r>
    <n v="51"/>
    <s v="Kresa"/>
    <s v="Krystyna"/>
    <d v="1980-09-04T00:00:00"/>
    <s v="Białystok"/>
    <s v="Cedynia"/>
    <s v="tak"/>
    <n v="0"/>
    <s v="angielski"/>
    <d v="2011-04-01T00:00:00"/>
    <x v="0"/>
    <x v="8"/>
    <n v="86500"/>
  </r>
  <r>
    <n v="52"/>
    <s v="Kresa"/>
    <s v="Kazimierz"/>
    <d v="1977-09-17T00:00:00"/>
    <s v="Bratomierz"/>
    <s v="Banie"/>
    <s v="nie"/>
    <n v="2"/>
    <s v="angielski"/>
    <d v="2011-05-20T00:00:00"/>
    <x v="2"/>
    <x v="3"/>
    <n v="83500"/>
  </r>
  <r>
    <n v="53"/>
    <s v="Kruszewski"/>
    <s v="Jan"/>
    <d v="1980-07-23T00:00:00"/>
    <s v="Warszawa"/>
    <s v="Piotrowice"/>
    <s v="tak"/>
    <n v="2"/>
    <s v="niemiecki"/>
    <d v="2009-10-19T00:00:00"/>
    <x v="2"/>
    <x v="10"/>
    <n v="92650"/>
  </r>
  <r>
    <n v="54"/>
    <s v="Kuc"/>
    <s v="Bożena"/>
    <d v="1998-10-17T00:00:00"/>
    <s v="Toruń"/>
    <s v="Brodnica"/>
    <s v="tak"/>
    <n v="1"/>
    <s v=" "/>
    <d v="2008-05-31T00:00:00"/>
    <x v="0"/>
    <x v="8"/>
    <n v="73000"/>
  </r>
  <r>
    <n v="55"/>
    <s v="Kupś"/>
    <s v="Piotr"/>
    <d v="1974-08-14T00:00:00"/>
    <s v="Kielce"/>
    <s v="Chełm"/>
    <s v="tak"/>
    <n v="2"/>
    <s v="hiszpański"/>
    <d v="2007-11-13T00:00:00"/>
    <x v="1"/>
    <x v="4"/>
    <n v="75400"/>
  </r>
  <r>
    <n v="56"/>
    <s v="Kupś"/>
    <s v="Piotr"/>
    <d v="1973-08-27T00:00:00"/>
    <s v="Toruń"/>
    <s v="Chełm"/>
    <s v="tak"/>
    <n v="3"/>
    <s v=" "/>
    <d v="2008-05-19T00:00:00"/>
    <x v="1"/>
    <x v="2"/>
    <n v="186556"/>
  </r>
  <r>
    <n v="57"/>
    <s v="Kustroń"/>
    <s v="Hanna"/>
    <d v="1972-11-20T00:00:00"/>
    <s v="Rzeszów"/>
    <s v="Bydgoszcz"/>
    <s v="tak"/>
    <n v="2"/>
    <s v="niemiecki"/>
    <d v="2009-08-25T00:00:00"/>
    <x v="1"/>
    <x v="1"/>
    <n v="94720"/>
  </r>
  <r>
    <n v="58"/>
    <s v="Leszczyk"/>
    <s v="Mikołaj"/>
    <d v="1995-06-07T00:00:00"/>
    <s v="Radom"/>
    <s v="Chełm"/>
    <s v="tak"/>
    <n v="1"/>
    <s v="niemiecki"/>
    <d v="2008-12-31T00:00:00"/>
    <x v="3"/>
    <x v="5"/>
    <n v="154780"/>
  </r>
  <r>
    <n v="59"/>
    <s v="Lewandowicz"/>
    <s v="Agnieszka"/>
    <d v="1978-08-11T00:00:00"/>
    <s v="Zamość"/>
    <s v="Bydgoszcz"/>
    <s v="tak"/>
    <n v="3"/>
    <s v=" "/>
    <d v="2009-03-18T00:00:00"/>
    <x v="1"/>
    <x v="1"/>
    <n v="83074"/>
  </r>
  <r>
    <n v="60"/>
    <s v="Ligocki"/>
    <s v="Ryszard"/>
    <d v="1998-10-17T00:00:00"/>
    <s v="Choszczno"/>
    <s v="Bydgoszcz"/>
    <s v="tak"/>
    <n v="3"/>
    <s v="niemiecki"/>
    <d v="2008-05-07T00:00:00"/>
    <x v="1"/>
    <x v="4"/>
    <n v="63130"/>
  </r>
  <r>
    <n v="61"/>
    <s v="Lipiński "/>
    <s v="Leszek"/>
    <d v="1976-03-22T00:00:00"/>
    <s v="Szczecin"/>
    <s v="Bydgoszcz"/>
    <s v="tak"/>
    <n v="3"/>
    <s v="hiszpański"/>
    <d v="2007-08-27T00:00:00"/>
    <x v="1"/>
    <x v="1"/>
    <n v="94729"/>
  </r>
  <r>
    <n v="62"/>
    <s v="Lipka"/>
    <s v="Magdalena"/>
    <d v="1957-10-11T00:00:00"/>
    <s v="Pyrzyce"/>
    <s v="Piotrowice"/>
    <s v="tak"/>
    <n v="3"/>
    <s v="angielski"/>
    <d v="2008-09-10T00:00:00"/>
    <x v="2"/>
    <x v="3"/>
    <n v="97690"/>
  </r>
  <r>
    <n v="63"/>
    <s v="Łopata"/>
    <s v="Henryk"/>
    <d v="1993-07-19T00:00:00"/>
    <s v="Braniewo"/>
    <s v="Bydgoszcz"/>
    <s v="nie"/>
    <n v="1"/>
    <s v=" "/>
    <d v="2008-08-25T00:00:00"/>
    <x v="0"/>
    <x v="0"/>
    <n v="51940"/>
  </r>
  <r>
    <n v="64"/>
    <s v="Maciejewski"/>
    <s v="Zygmunt"/>
    <d v="1998-05-18T00:00:00"/>
    <s v="Czaplice"/>
    <s v="Cedynia"/>
    <s v="tak"/>
    <n v="3"/>
    <s v="angielski"/>
    <d v="2007-06-14T00:00:00"/>
    <x v="1"/>
    <x v="1"/>
    <n v="56995"/>
  </r>
  <r>
    <n v="65"/>
    <s v="Maliniak"/>
    <s v="Piotr"/>
    <d v="1973-08-22T00:00:00"/>
    <s v="Szczecin"/>
    <s v="Chełm"/>
    <s v="tak"/>
    <n v="5"/>
    <s v="francuski"/>
    <d v="2006-03-19T00:00:00"/>
    <x v="1"/>
    <x v="4"/>
    <n v="62920"/>
  </r>
  <r>
    <n v="66"/>
    <s v="Niechcic"/>
    <s v="Tomasz"/>
    <d v="1979-01-29T00:00:00"/>
    <s v="Przemyśl"/>
    <s v="Chełm"/>
    <s v="tak"/>
    <n v="3"/>
    <s v="hiszpański"/>
    <d v="2008-03-25T00:00:00"/>
    <x v="0"/>
    <x v="0"/>
    <n v="124822"/>
  </r>
  <r>
    <n v="67"/>
    <s v="Nitecka"/>
    <s v="Jolanta"/>
    <d v="1975-08-20T00:00:00"/>
    <s v="Chojna"/>
    <s v="Banie"/>
    <s v="tak"/>
    <n v="3"/>
    <s v="francuski"/>
    <d v="2013-09-16T00:00:00"/>
    <x v="1"/>
    <x v="1"/>
    <n v="62920"/>
  </r>
  <r>
    <n v="68"/>
    <s v="Nowak"/>
    <s v="Jan"/>
    <d v="1977-06-13T00:00:00"/>
    <s v="Sopot"/>
    <s v="Chełm"/>
    <s v="tak"/>
    <n v="1"/>
    <s v="niemiecki"/>
    <d v="2008-03-03T00:00:00"/>
    <x v="5"/>
    <x v="0"/>
    <n v="148864"/>
  </r>
  <r>
    <n v="69"/>
    <s v="Nowak"/>
    <s v="Przemysław"/>
    <d v="1997-07-01T00:00:00"/>
    <s v="Police"/>
    <s v="Piotrowice"/>
    <s v="tak"/>
    <n v="3"/>
    <s v="angielski"/>
    <d v="2008-10-16T00:00:00"/>
    <x v="2"/>
    <x v="3"/>
    <n v="76018"/>
  </r>
  <r>
    <n v="70"/>
    <s v="Nowakowski"/>
    <s v="Marek"/>
    <d v="1981-02-22T00:00:00"/>
    <s v="Bierutów"/>
    <s v="Banie"/>
    <s v="tak"/>
    <n v="1"/>
    <s v="angielski"/>
    <d v="2013-10-30T00:00:00"/>
    <x v="1"/>
    <x v="1"/>
    <n v="120250"/>
  </r>
  <r>
    <n v="71"/>
    <s v="Ołdakowska"/>
    <s v="Agnieszka"/>
    <d v="1982-03-26T00:00:00"/>
    <s v="Olsztyn"/>
    <s v="Brodnica"/>
    <s v="tak"/>
    <n v="0"/>
    <s v="angielski"/>
    <d v="2008-01-05T00:00:00"/>
    <x v="0"/>
    <x v="8"/>
    <n v="86500"/>
  </r>
  <r>
    <n v="72"/>
    <s v="Ołldakowska"/>
    <s v="Agnieszka"/>
    <d v="1976-05-24T00:00:00"/>
    <s v="Szczecin"/>
    <s v="Bydgoszcz"/>
    <s v="tak"/>
    <n v="1"/>
    <s v="angielski"/>
    <d v="2009-01-13T00:00:00"/>
    <x v="1"/>
    <x v="1"/>
    <n v="108976"/>
  </r>
  <r>
    <n v="73"/>
    <s v="Osowska"/>
    <s v="Maria"/>
    <d v="1974-02-08T00:00:00"/>
    <s v="Banie"/>
    <s v="Banie"/>
    <s v="tak"/>
    <n v="0"/>
    <s v="angielski"/>
    <d v="2012-11-25T00:00:00"/>
    <x v="2"/>
    <x v="10"/>
    <n v="88726"/>
  </r>
  <r>
    <n v="74"/>
    <s v="Ostrowska"/>
    <s v="Ewa"/>
    <d v="1974-04-18T00:00:00"/>
    <s v="Gorzów"/>
    <s v="Brodnica"/>
    <s v="tak"/>
    <n v="1"/>
    <s v=" "/>
    <d v="2007-12-16T00:00:00"/>
    <x v="4"/>
    <x v="7"/>
    <n v="120100"/>
  </r>
  <r>
    <n v="75"/>
    <s v="Owczarek"/>
    <s v="Tomasz"/>
    <d v="1973-06-07T00:00:00"/>
    <s v="Łódź"/>
    <s v="Piotrowice"/>
    <s v="tak"/>
    <n v="1"/>
    <s v="angielski"/>
    <d v="2008-10-15T00:00:00"/>
    <x v="2"/>
    <x v="3"/>
    <n v="116440"/>
  </r>
  <r>
    <n v="76"/>
    <s v="Owczarz"/>
    <s v="Teresa"/>
    <d v="1978-04-10T00:00:00"/>
    <s v="Szczecin"/>
    <s v="Chojna"/>
    <s v="nie"/>
    <n v="2"/>
    <s v="francuski"/>
    <d v="2008-01-17T00:00:00"/>
    <x v="0"/>
    <x v="0"/>
    <n v="70726"/>
  </r>
  <r>
    <n v="77"/>
    <s v="Paluch"/>
    <s v="Edward"/>
    <d v="1978-07-27T00:00:00"/>
    <s v="Człuchów"/>
    <s v="Banie"/>
    <s v="tak"/>
    <n v="3"/>
    <s v="angielski"/>
    <d v="2014-06-13T00:00:00"/>
    <x v="2"/>
    <x v="3"/>
    <n v="76018"/>
  </r>
  <r>
    <n v="78"/>
    <s v="Paluch"/>
    <s v="Krystyna"/>
    <d v="1979-07-06T00:00:00"/>
    <s v="Choszczno"/>
    <s v="Biała Podlaska"/>
    <s v="tak"/>
    <n v="1"/>
    <s v="angielski, niemiecki"/>
    <d v="2014-08-22T00:00:00"/>
    <x v="0"/>
    <x v="0"/>
    <n v="66760"/>
  </r>
  <r>
    <n v="79"/>
    <s v="Pogorzelski"/>
    <s v="Jerzy"/>
    <d v="1998-09-20T00:00:00"/>
    <s v="Chojna"/>
    <s v="Banie"/>
    <s v="tak"/>
    <n v="1"/>
    <s v="angielski"/>
    <d v="2008-11-17T00:00:00"/>
    <x v="2"/>
    <x v="3"/>
    <n v="116440"/>
  </r>
  <r>
    <n v="80"/>
    <s v="Puchalski"/>
    <s v="Marian"/>
    <d v="1971-12-22T00:00:00"/>
    <s v="Charków"/>
    <s v="Biała Podlaska"/>
    <s v="tak"/>
    <n v="1"/>
    <s v=" "/>
    <d v="2013-06-02T00:00:00"/>
    <x v="0"/>
    <x v="0"/>
    <n v="53254"/>
  </r>
  <r>
    <n v="81"/>
    <s v="Radoszewska"/>
    <s v="Joanna"/>
    <d v="1988-01-15T00:00:00"/>
    <s v="Warszawa"/>
    <s v="Chełm"/>
    <s v="tak"/>
    <n v="1"/>
    <s v="niemiecki"/>
    <d v="2006-04-07T00:00:00"/>
    <x v="1"/>
    <x v="6"/>
    <n v="154780"/>
  </r>
  <r>
    <n v="82"/>
    <s v="Rogalska"/>
    <s v="Maria"/>
    <d v="1980-03-05T00:00:00"/>
    <s v="Lublin"/>
    <s v="Bydgoszcz"/>
    <s v="tak"/>
    <n v="1"/>
    <s v="francuski"/>
    <d v="2008-12-06T00:00:00"/>
    <x v="1"/>
    <x v="1"/>
    <n v="73900"/>
  </r>
  <r>
    <n v="83"/>
    <s v="Rokita"/>
    <s v="Marta"/>
    <d v="2005-02-23T00:00:00"/>
    <s v="Opole"/>
    <s v="Brodnica"/>
    <s v="tak"/>
    <n v="1"/>
    <s v=" "/>
    <d v="2008-07-28T00:00:00"/>
    <x v="4"/>
    <x v="7"/>
    <n v="120100"/>
  </r>
  <r>
    <n v="84"/>
    <s v="Rokita"/>
    <s v="Maria"/>
    <d v="1984-01-31T00:00:00"/>
    <s v="Brzezin"/>
    <s v="Banie"/>
    <s v="tak"/>
    <n v="2"/>
    <s v="hiszpański"/>
    <d v="2009-08-08T00:00:00"/>
    <x v="1"/>
    <x v="1"/>
    <n v="75400"/>
  </r>
  <r>
    <n v="85"/>
    <s v="Rokita"/>
    <s v="Stanisław"/>
    <d v="1991-01-15T00:00:00"/>
    <s v="Czarnkow"/>
    <s v="Bydgoszcz"/>
    <s v="tak"/>
    <n v="6"/>
    <s v=" "/>
    <d v="2011-04-29T00:00:00"/>
    <x v="1"/>
    <x v="4"/>
    <n v="76120"/>
  </r>
  <r>
    <n v="86"/>
    <s v="Rondzisty"/>
    <s v="Marcin"/>
    <d v="1996-02-09T00:00:00"/>
    <s v="Mińsk"/>
    <s v="Brodnica"/>
    <s v="tak"/>
    <n v="0"/>
    <s v="rosyjski, francuski"/>
    <d v="2008-06-24T00:00:00"/>
    <x v="0"/>
    <x v="8"/>
    <n v="59944"/>
  </r>
  <r>
    <n v="87"/>
    <s v="Rudnicka "/>
    <s v="Halina"/>
    <d v="1985-10-02T00:00:00"/>
    <s v="Lubanowo"/>
    <s v="Iława"/>
    <s v="nie"/>
    <n v="3"/>
    <s v="niemiecki, hiszpański"/>
    <d v="2014-06-21T00:00:00"/>
    <x v="1"/>
    <x v="1"/>
    <n v="94729"/>
  </r>
  <r>
    <n v="88"/>
    <s v="Rudnicki"/>
    <s v="Józef"/>
    <d v="1991-06-01T00:00:00"/>
    <s v="Świecie"/>
    <s v="Świdnik"/>
    <s v="tak"/>
    <n v="1"/>
    <s v="francuski, niemiecki"/>
    <d v="2011-07-05T00:00:00"/>
    <x v="1"/>
    <x v="4"/>
    <n v="73900"/>
  </r>
  <r>
    <n v="89"/>
    <s v="Runowicz"/>
    <s v="Wojciech"/>
    <d v="1990-02-15T00:00:00"/>
    <s v="Szczecin"/>
    <s v="Chełm"/>
    <s v="tak"/>
    <n v="1"/>
    <s v="angielski"/>
    <d v="2009-01-14T00:00:00"/>
    <x v="5"/>
    <x v="0"/>
    <n v="58990"/>
  </r>
  <r>
    <n v="90"/>
    <s v="Rybak"/>
    <s v="Piotr"/>
    <d v="1981-04-14T00:00:00"/>
    <s v="Cedynia"/>
    <s v="Gdańsk"/>
    <s v="nie"/>
    <n v="0"/>
    <s v=" "/>
    <d v="2013-10-31T00:00:00"/>
    <x v="1"/>
    <x v="1"/>
    <n v="84316"/>
  </r>
  <r>
    <n v="91"/>
    <s v="Sadowski"/>
    <s v="Piotr"/>
    <d v="1972-07-07T00:00:00"/>
    <s v="Szczecin"/>
    <s v="Chełm"/>
    <s v="tak"/>
    <n v="3"/>
    <s v=" "/>
    <d v="2009-04-01T00:00:00"/>
    <x v="1"/>
    <x v="4"/>
    <n v="76120"/>
  </r>
  <r>
    <n v="92"/>
    <s v="Samborska"/>
    <s v="Małgorzata"/>
    <d v="1994-01-25T00:00:00"/>
    <s v="Chojnice"/>
    <s v="Biała Podlaska"/>
    <s v="tak"/>
    <n v="0"/>
    <s v="angielski"/>
    <d v="2008-07-13T00:00:00"/>
    <x v="1"/>
    <x v="6"/>
    <n v="125044"/>
  </r>
  <r>
    <n v="93"/>
    <s v="Skrzypczak"/>
    <s v="Jadwiga"/>
    <d v="1970-09-30T00:00:00"/>
    <s v="Barlinek"/>
    <s v="Cedynia"/>
    <s v="tak"/>
    <n v="1"/>
    <s v=" "/>
    <d v="2014-06-05T00:00:00"/>
    <x v="1"/>
    <x v="6"/>
    <n v="73930"/>
  </r>
  <r>
    <n v="94"/>
    <s v="Sroka"/>
    <s v="Wanda"/>
    <d v="1980-11-13T00:00:00"/>
    <s v="Bielsko Biała"/>
    <s v="Biała Podlaska"/>
    <s v="tak"/>
    <n v="0"/>
    <s v="angielski"/>
    <d v="2013-04-27T00:00:00"/>
    <x v="5"/>
    <x v="0"/>
    <n v="81838"/>
  </r>
  <r>
    <n v="95"/>
    <s v="Srokowska"/>
    <s v="Izabella"/>
    <d v="1974-09-15T00:00:00"/>
    <s v="Poznań"/>
    <s v="Bydgoszcz"/>
    <s v="tak"/>
    <n v="1"/>
    <s v="angielski"/>
    <d v="2009-08-22T00:00:00"/>
    <x v="1"/>
    <x v="1"/>
    <n v="120250"/>
  </r>
  <r>
    <n v="96"/>
    <s v="Szablewska"/>
    <s v="Monika"/>
    <d v="1982-02-28T00:00:00"/>
    <s v="Szczecin"/>
    <s v="Brodnica"/>
    <s v="tak"/>
    <n v="0"/>
    <s v="angielski"/>
    <d v="2009-07-23T00:00:00"/>
    <x v="1"/>
    <x v="1"/>
    <n v="174340"/>
  </r>
  <r>
    <n v="97"/>
    <s v="Szafko"/>
    <s v="Radosław"/>
    <d v="1974-06-07T00:00:00"/>
    <s v="Wrocław"/>
    <s v="Chojna"/>
    <s v="tak"/>
    <n v="1"/>
    <s v=" "/>
    <d v="2007-08-17T00:00:00"/>
    <x v="0"/>
    <x v="0"/>
    <n v="51940"/>
  </r>
  <r>
    <n v="98"/>
    <s v="Szafko"/>
    <s v="Radosław"/>
    <d v="2003-02-11T00:00:00"/>
    <s v="Szczecin"/>
    <s v="Chełm"/>
    <s v="tak"/>
    <n v="1"/>
    <s v=" "/>
    <d v="2008-01-05T00:00:00"/>
    <x v="1"/>
    <x v="4"/>
    <n v="73930"/>
  </r>
  <r>
    <n v="99"/>
    <s v="Szkudlarek"/>
    <s v="Jolanta"/>
    <d v="1999-02-03T00:00:00"/>
    <s v="Brześć"/>
    <s v="Brodnica"/>
    <s v="nie"/>
    <n v="1"/>
    <s v="niemiecki"/>
    <d v="2007-11-16T00:00:00"/>
    <x v="1"/>
    <x v="1"/>
    <n v="118330"/>
  </r>
  <r>
    <n v="100"/>
    <s v="Szymański"/>
    <s v="Jan"/>
    <d v="1980-10-11T00:00:00"/>
    <s v="Czerniakrobek"/>
    <s v="Banie"/>
    <s v="tak"/>
    <n v="2"/>
    <s v="rosyjski"/>
    <d v="2013-01-19T00:00:00"/>
    <x v="1"/>
    <x v="1"/>
    <n v="94720"/>
  </r>
  <r>
    <n v="101"/>
    <s v="Szymczak"/>
    <s v="Janusz"/>
    <d v="1994-07-02T00:00:00"/>
    <s v="Cedynia"/>
    <s v="Bydgoszcz"/>
    <s v="tak"/>
    <n v="6"/>
    <s v="niemiecki"/>
    <d v="2009-05-04T00:00:00"/>
    <x v="5"/>
    <x v="0"/>
    <n v="68864"/>
  </r>
  <r>
    <n v="102"/>
    <s v="Śliwińska"/>
    <s v="Magdalena"/>
    <d v="1984-08-28T00:00:00"/>
    <s v="Białogard"/>
    <s v="Cedynia"/>
    <s v="tak"/>
    <n v="1"/>
    <s v="hiszpański"/>
    <d v="2007-09-15T00:00:00"/>
    <x v="4"/>
    <x v="7"/>
    <n v="76600"/>
  </r>
  <r>
    <n v="103"/>
    <s v="Taukin"/>
    <s v="Karina"/>
    <d v="1975-12-28T00:00:00"/>
    <s v="Szczecin"/>
    <s v="Chełm"/>
    <s v="tak"/>
    <n v="0"/>
    <s v=" "/>
    <d v="2007-10-24T00:00:00"/>
    <x v="1"/>
    <x v="6"/>
    <n v="84316"/>
  </r>
  <r>
    <n v="104"/>
    <s v="Taukin"/>
    <s v="Katarzyna"/>
    <d v="1972-02-20T00:00:00"/>
    <s v="Szczecin"/>
    <s v="Brodnica"/>
    <s v="tak"/>
    <n v="1"/>
    <s v="hiszpański"/>
    <d v="2008-02-27T00:00:00"/>
    <x v="4"/>
    <x v="7"/>
    <n v="76600"/>
  </r>
  <r>
    <n v="105"/>
    <s v="Tokarczuk"/>
    <s v="Agata"/>
    <d v="1993-12-16T00:00:00"/>
    <s v="Brzeg Dolny"/>
    <s v="Bydgoszcz"/>
    <s v="tak"/>
    <n v="4"/>
    <s v="niemiecki, angielski"/>
    <d v="2007-11-24T00:00:00"/>
    <x v="0"/>
    <x v="0"/>
    <n v="127900"/>
  </r>
  <r>
    <n v="106"/>
    <s v="Trela"/>
    <s v="Anna"/>
    <d v="1983-03-24T00:00:00"/>
    <s v="Biała Podlaska"/>
    <s v="Banie"/>
    <s v="nie"/>
    <n v="1"/>
    <s v=" "/>
    <d v="2006-03-26T00:00:00"/>
    <x v="1"/>
    <x v="1"/>
    <n v="136000"/>
  </r>
  <r>
    <n v="107"/>
    <s v="Turski"/>
    <s v="Zbigniew"/>
    <d v="1987-01-13T00:00:00"/>
    <s v="Świnoujście"/>
    <s v="Świdnik"/>
    <s v="tak"/>
    <n v="2"/>
    <s v=" "/>
    <d v="2013-11-22T00:00:00"/>
    <x v="1"/>
    <x v="6"/>
    <n v="53650"/>
  </r>
  <r>
    <n v="108"/>
    <s v="Twardowski"/>
    <s v="Czesław"/>
    <d v="1976-07-02T00:00:00"/>
    <s v="Szczecin"/>
    <s v="Brodnica"/>
    <s v="tak"/>
    <n v="0"/>
    <s v="angielski"/>
    <d v="2006-05-25T00:00:00"/>
    <x v="5"/>
    <x v="8"/>
    <n v="81838"/>
  </r>
  <r>
    <n v="109"/>
    <s v="Tymicz"/>
    <s v="Zenon"/>
    <d v="1998-10-29T00:00:00"/>
    <s v="Barlinek"/>
    <s v="Cedynia"/>
    <s v="tak"/>
    <n v="5"/>
    <s v="angielski, rosyjski"/>
    <d v="2007-12-11T00:00:00"/>
    <x v="3"/>
    <x v="7"/>
    <n v="66700"/>
  </r>
  <r>
    <n v="110"/>
    <s v="Wierzbicki"/>
    <s v="Piotr"/>
    <d v="1982-03-03T00:00:00"/>
    <s v="Szczecin"/>
    <s v="Chełm"/>
    <s v="tak"/>
    <n v="2"/>
    <s v="hiszpański"/>
    <d v="2008-09-13T00:00:00"/>
    <x v="1"/>
    <x v="4"/>
    <n v="138010"/>
  </r>
  <r>
    <n v="111"/>
    <s v="Wiśniewska"/>
    <s v="Grażyna"/>
    <d v="1998-10-31T00:00:00"/>
    <s v="Chełmża"/>
    <s v="Bydgoszcz"/>
    <s v="tak"/>
    <n v="3"/>
    <s v="hiszpański, angielski"/>
    <d v="2008-09-16T00:00:00"/>
    <x v="0"/>
    <x v="0"/>
    <n v="91996"/>
  </r>
  <r>
    <n v="112"/>
    <s v="Wojciechowska"/>
    <s v="Ewa"/>
    <d v="1981-02-02T00:00:00"/>
    <s v="Chojna"/>
    <s v="Biała Podlaska"/>
    <s v="tak"/>
    <n v="4"/>
    <s v="hiszpański"/>
    <d v="2014-03-11T00:00:00"/>
    <x v="1"/>
    <x v="6"/>
    <n v="92290"/>
  </r>
  <r>
    <n v="113"/>
    <s v="Wojciechowski"/>
    <s v="Paweł"/>
    <d v="1974-07-10T00:00:00"/>
    <s v="Szczecin"/>
    <s v="Chełm"/>
    <s v="tak"/>
    <n v="0"/>
    <s v="niemiecki"/>
    <d v="2009-07-04T00:00:00"/>
    <x v="1"/>
    <x v="6"/>
    <n v="74200"/>
  </r>
  <r>
    <n v="114"/>
    <s v="Wojtas"/>
    <s v="Ewelina"/>
    <d v="1979-07-22T00:00:00"/>
    <s v="Resko"/>
    <s v="Świdnik"/>
    <s v="tak"/>
    <n v="0"/>
    <s v="angielski"/>
    <d v="2008-04-06T00:00:00"/>
    <x v="2"/>
    <x v="3"/>
    <n v="88726"/>
  </r>
  <r>
    <n v="115"/>
    <s v="Wojtyła"/>
    <s v="Joanna"/>
    <d v="1980-12-06T00:00:00"/>
    <s v="Piaski"/>
    <s v="Piaski"/>
    <s v="tak"/>
    <n v="2"/>
    <s v=" "/>
    <d v="2009-06-22T00:00:00"/>
    <x v="1"/>
    <x v="4"/>
    <n v="53650"/>
  </r>
  <r>
    <n v="116"/>
    <s v="Wójcicki"/>
    <s v="Kamil"/>
    <d v="1974-05-16T00:00:00"/>
    <s v="Szczecin"/>
    <s v="Chojna"/>
    <s v="tak"/>
    <n v="1"/>
    <s v="rosyjski"/>
    <d v="2009-10-09T00:00:00"/>
    <x v="0"/>
    <x v="0"/>
    <n v="53254"/>
  </r>
  <r>
    <n v="117"/>
    <s v="Wysocki"/>
    <s v="Rafał"/>
    <d v="1978-08-31T00:00:00"/>
    <s v="Burzenin"/>
    <s v="Bydgoszcz"/>
    <s v="tak"/>
    <n v="3"/>
    <s v=" "/>
    <d v="2013-09-17T00:00:00"/>
    <x v="1"/>
    <x v="11"/>
    <n v="83074"/>
  </r>
  <r>
    <n v="118"/>
    <s v="Zabawa"/>
    <s v="Krzysztof"/>
    <d v="2001-08-17T00:00:00"/>
    <s v="Szczecin"/>
    <s v="Chełm"/>
    <s v="tak"/>
    <n v="3"/>
    <s v="hiszpański, francuski"/>
    <d v="2008-10-07T00:00:00"/>
    <x v="0"/>
    <x v="12"/>
    <n v="124822"/>
  </r>
  <r>
    <n v="119"/>
    <s v="Zalewski"/>
    <s v="Robert"/>
    <d v="1998-06-21T00:00:00"/>
    <s v="Cieplice Śląskie-Zdrój"/>
    <s v="Biała Podlaska"/>
    <s v="tak"/>
    <n v="2"/>
    <s v="niemiecki, hiszpański"/>
    <d v="2006-05-26T00:00:00"/>
    <x v="1"/>
    <x v="6"/>
    <n v="138010"/>
  </r>
  <r>
    <n v="120"/>
    <s v="Żakowski"/>
    <s v="Robert"/>
    <d v="1994-01-07T00:00:00"/>
    <s v=" "/>
    <s v="Świdnik"/>
    <s v="tak"/>
    <n v="0"/>
    <s v="francuski"/>
    <d v="2012-06-24T00:00:00"/>
    <x v="0"/>
    <x v="8"/>
    <n v="989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</r>
  <r>
    <x v="0"/>
    <x v="1"/>
  </r>
  <r>
    <x v="1"/>
    <x v="2"/>
  </r>
  <r>
    <x v="1"/>
    <x v="3"/>
  </r>
  <r>
    <x v="1"/>
    <x v="4"/>
  </r>
  <r>
    <x v="2"/>
    <x v="5"/>
  </r>
  <r>
    <x v="0"/>
    <x v="6"/>
  </r>
  <r>
    <x v="1"/>
    <x v="7"/>
  </r>
  <r>
    <x v="1"/>
    <x v="8"/>
  </r>
  <r>
    <x v="1"/>
    <x v="2"/>
  </r>
  <r>
    <x v="2"/>
    <x v="9"/>
  </r>
  <r>
    <x v="3"/>
    <x v="10"/>
  </r>
  <r>
    <x v="0"/>
    <x v="0"/>
  </r>
  <r>
    <x v="0"/>
    <x v="11"/>
  </r>
  <r>
    <x v="1"/>
    <x v="10"/>
  </r>
  <r>
    <x v="0"/>
    <x v="10"/>
  </r>
  <r>
    <x v="1"/>
    <x v="12"/>
  </r>
  <r>
    <x v="4"/>
    <x v="13"/>
  </r>
  <r>
    <x v="1"/>
    <x v="14"/>
  </r>
  <r>
    <x v="0"/>
    <x v="15"/>
  </r>
  <r>
    <x v="0"/>
    <x v="16"/>
  </r>
  <r>
    <x v="0"/>
    <x v="10"/>
  </r>
  <r>
    <x v="1"/>
    <x v="4"/>
  </r>
  <r>
    <x v="0"/>
    <x v="17"/>
  </r>
  <r>
    <x v="1"/>
    <x v="14"/>
  </r>
  <r>
    <x v="1"/>
    <x v="18"/>
  </r>
  <r>
    <x v="1"/>
    <x v="19"/>
  </r>
  <r>
    <x v="0"/>
    <x v="20"/>
  </r>
  <r>
    <x v="1"/>
    <x v="18"/>
  </r>
  <r>
    <x v="0"/>
    <x v="16"/>
  </r>
  <r>
    <x v="4"/>
    <x v="13"/>
  </r>
  <r>
    <x v="1"/>
    <x v="21"/>
  </r>
  <r>
    <x v="3"/>
    <x v="22"/>
  </r>
  <r>
    <x v="1"/>
    <x v="23"/>
  </r>
  <r>
    <x v="0"/>
    <x v="24"/>
  </r>
  <r>
    <x v="2"/>
    <x v="25"/>
  </r>
  <r>
    <x v="0"/>
    <x v="26"/>
  </r>
  <r>
    <x v="2"/>
    <x v="27"/>
  </r>
  <r>
    <x v="0"/>
    <x v="28"/>
  </r>
  <r>
    <x v="0"/>
    <x v="11"/>
  </r>
  <r>
    <x v="5"/>
    <x v="29"/>
  </r>
  <r>
    <x v="1"/>
    <x v="30"/>
  </r>
  <r>
    <x v="1"/>
    <x v="31"/>
  </r>
  <r>
    <x v="1"/>
    <x v="30"/>
  </r>
  <r>
    <x v="1"/>
    <x v="32"/>
  </r>
  <r>
    <x v="1"/>
    <x v="33"/>
  </r>
  <r>
    <x v="2"/>
    <x v="25"/>
  </r>
  <r>
    <x v="0"/>
    <x v="26"/>
  </r>
  <r>
    <x v="1"/>
    <x v="33"/>
  </r>
  <r>
    <x v="3"/>
    <x v="34"/>
  </r>
  <r>
    <x v="0"/>
    <x v="35"/>
  </r>
  <r>
    <x v="2"/>
    <x v="27"/>
  </r>
  <r>
    <x v="2"/>
    <x v="5"/>
  </r>
  <r>
    <x v="0"/>
    <x v="15"/>
  </r>
  <r>
    <x v="1"/>
    <x v="36"/>
  </r>
  <r>
    <x v="1"/>
    <x v="3"/>
  </r>
  <r>
    <x v="1"/>
    <x v="37"/>
  </r>
  <r>
    <x v="3"/>
    <x v="38"/>
  </r>
  <r>
    <x v="1"/>
    <x v="39"/>
  </r>
  <r>
    <x v="1"/>
    <x v="31"/>
  </r>
  <r>
    <x v="1"/>
    <x v="40"/>
  </r>
  <r>
    <x v="2"/>
    <x v="9"/>
  </r>
  <r>
    <x v="0"/>
    <x v="41"/>
  </r>
  <r>
    <x v="1"/>
    <x v="12"/>
  </r>
  <r>
    <x v="1"/>
    <x v="42"/>
  </r>
  <r>
    <x v="0"/>
    <x v="43"/>
  </r>
  <r>
    <x v="1"/>
    <x v="42"/>
  </r>
  <r>
    <x v="5"/>
    <x v="44"/>
  </r>
  <r>
    <x v="2"/>
    <x v="45"/>
  </r>
  <r>
    <x v="1"/>
    <x v="46"/>
  </r>
  <r>
    <x v="0"/>
    <x v="35"/>
  </r>
  <r>
    <x v="1"/>
    <x v="23"/>
  </r>
  <r>
    <x v="2"/>
    <x v="47"/>
  </r>
  <r>
    <x v="4"/>
    <x v="48"/>
  </r>
  <r>
    <x v="2"/>
    <x v="49"/>
  </r>
  <r>
    <x v="0"/>
    <x v="6"/>
  </r>
  <r>
    <x v="2"/>
    <x v="45"/>
  </r>
  <r>
    <x v="0"/>
    <x v="20"/>
  </r>
  <r>
    <x v="2"/>
    <x v="49"/>
  </r>
  <r>
    <x v="0"/>
    <x v="50"/>
  </r>
  <r>
    <x v="1"/>
    <x v="38"/>
  </r>
  <r>
    <x v="1"/>
    <x v="51"/>
  </r>
  <r>
    <x v="4"/>
    <x v="48"/>
  </r>
  <r>
    <x v="1"/>
    <x v="36"/>
  </r>
  <r>
    <x v="1"/>
    <x v="52"/>
  </r>
  <r>
    <x v="0"/>
    <x v="53"/>
  </r>
  <r>
    <x v="1"/>
    <x v="40"/>
  </r>
  <r>
    <x v="1"/>
    <x v="51"/>
  </r>
  <r>
    <x v="5"/>
    <x v="29"/>
  </r>
  <r>
    <x v="1"/>
    <x v="54"/>
  </r>
  <r>
    <x v="1"/>
    <x v="52"/>
  </r>
  <r>
    <x v="1"/>
    <x v="55"/>
  </r>
  <r>
    <x v="1"/>
    <x v="56"/>
  </r>
  <r>
    <x v="5"/>
    <x v="57"/>
  </r>
  <r>
    <x v="1"/>
    <x v="46"/>
  </r>
  <r>
    <x v="1"/>
    <x v="21"/>
  </r>
  <r>
    <x v="0"/>
    <x v="41"/>
  </r>
  <r>
    <x v="1"/>
    <x v="56"/>
  </r>
  <r>
    <x v="1"/>
    <x v="22"/>
  </r>
  <r>
    <x v="1"/>
    <x v="37"/>
  </r>
  <r>
    <x v="5"/>
    <x v="58"/>
  </r>
  <r>
    <x v="4"/>
    <x v="59"/>
  </r>
  <r>
    <x v="1"/>
    <x v="54"/>
  </r>
  <r>
    <x v="4"/>
    <x v="59"/>
  </r>
  <r>
    <x v="0"/>
    <x v="28"/>
  </r>
  <r>
    <x v="1"/>
    <x v="32"/>
  </r>
  <r>
    <x v="1"/>
    <x v="60"/>
  </r>
  <r>
    <x v="5"/>
    <x v="57"/>
  </r>
  <r>
    <x v="3"/>
    <x v="34"/>
  </r>
  <r>
    <x v="1"/>
    <x v="61"/>
  </r>
  <r>
    <x v="0"/>
    <x v="17"/>
  </r>
  <r>
    <x v="1"/>
    <x v="8"/>
  </r>
  <r>
    <x v="1"/>
    <x v="7"/>
  </r>
  <r>
    <x v="2"/>
    <x v="47"/>
  </r>
  <r>
    <x v="1"/>
    <x v="60"/>
  </r>
  <r>
    <x v="0"/>
    <x v="50"/>
  </r>
  <r>
    <x v="1"/>
    <x v="39"/>
  </r>
  <r>
    <x v="0"/>
    <x v="43"/>
  </r>
  <r>
    <x v="1"/>
    <x v="61"/>
  </r>
  <r>
    <x v="0"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6E4C4-D6E6-4553-9F5F-FE0745FCB80F}" name="Tabela przestawna1" cacheId="2435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multipleFieldFilters="0">
  <location ref="A3:A66" firstHeaderRow="1" firstDataRow="1" firstDataCol="1" rowPageCount="1" colPageCount="1"/>
  <pivotFields count="2">
    <pivotField axis="axisPage" compact="0" outline="0" multipleItemSelectionAllowed="1" showAll="0">
      <items count="7">
        <item x="0"/>
        <item x="5"/>
        <item x="4"/>
        <item x="1"/>
        <item x="2"/>
        <item x="3"/>
        <item t="default"/>
      </items>
    </pivotField>
    <pivotField axis="axisRow" compact="0" numFmtId="164" outline="0" showAll="0" sortType="ascending">
      <items count="64">
        <item x="41"/>
        <item x="50"/>
        <item x="60"/>
        <item x="12"/>
        <item x="29"/>
        <item x="53"/>
        <item x="42"/>
        <item x="31"/>
        <item x="2"/>
        <item x="34"/>
        <item x="20"/>
        <item x="58"/>
        <item x="6"/>
        <item x="15"/>
        <item x="30"/>
        <item x="25"/>
        <item x="51"/>
        <item x="56"/>
        <item x="7"/>
        <item x="36"/>
        <item x="45"/>
        <item x="52"/>
        <item x="59"/>
        <item x="10"/>
        <item x="24"/>
        <item x="57"/>
        <item x="39"/>
        <item x="13"/>
        <item x="0"/>
        <item x="27"/>
        <item x="54"/>
        <item x="35"/>
        <item x="47"/>
        <item x="17"/>
        <item x="8"/>
        <item x="5"/>
        <item x="37"/>
        <item x="40"/>
        <item x="9"/>
        <item x="1"/>
        <item x="62"/>
        <item x="11"/>
        <item x="33"/>
        <item x="19"/>
        <item x="23"/>
        <item x="26"/>
        <item x="16"/>
        <item x="49"/>
        <item x="22"/>
        <item x="18"/>
        <item x="48"/>
        <item x="46"/>
        <item x="43"/>
        <item x="55"/>
        <item x="4"/>
        <item x="14"/>
        <item x="28"/>
        <item x="32"/>
        <item x="61"/>
        <item x="44"/>
        <item x="38"/>
        <item x="21"/>
        <item x="3"/>
        <item t="default"/>
      </items>
    </pivotField>
  </pivotFields>
  <rowFields count="1">
    <field x="1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</rowItems>
  <colItems count="1">
    <i/>
  </colItems>
  <pageFields count="1">
    <pageField fld="0" hier="-1"/>
  </pageFields>
  <formats count="1">
    <format dxfId="2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F352E-3938-485D-9B0E-42C7B18C20F1}" name="Tabela przestawna2" cacheId="140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O11" firstHeaderRow="1" firstDataRow="2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7">
        <item x="0"/>
        <item x="5"/>
        <item x="4"/>
        <item x="1"/>
        <item x="2"/>
        <item x="3"/>
        <item t="default"/>
      </items>
    </pivotField>
    <pivotField axis="axisCol" compact="0" outline="0" showAll="0">
      <items count="14">
        <item x="9"/>
        <item x="10"/>
        <item x="3"/>
        <item x="1"/>
        <item x="11"/>
        <item x="8"/>
        <item x="7"/>
        <item x="6"/>
        <item x="0"/>
        <item x="12"/>
        <item x="4"/>
        <item x="5"/>
        <item x="2"/>
        <item t="default"/>
      </items>
    </pivotField>
    <pivotField dataField="1" compact="0" numFmtId="3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z Rocznie" fld="12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1A18B-126D-460D-AC38-8BC134B67417}" name="Tabela1" displayName="Tabela1" ref="A1:O121" totalsRowShown="0" headerRowDxfId="23" dataDxfId="22" tableBorderDxfId="21">
  <autoFilter ref="A1:O121" xr:uid="{BA91A18B-126D-460D-AC38-8BC134B67417}"/>
  <tableColumns count="15">
    <tableColumn id="1" xr3:uid="{C6218E28-252F-4377-A91D-2318B526D3C1}" name="Lp" dataDxfId="20"/>
    <tableColumn id="2" xr3:uid="{982D73E2-A603-4555-BA31-A8362CB23944}" name="Nazwisko" dataDxfId="19"/>
    <tableColumn id="3" xr3:uid="{301D3618-C60A-4CC4-A96D-F9FE8CB4786E}" name="Imie" dataDxfId="18"/>
    <tableColumn id="4" xr3:uid="{C45D83D9-0C3E-437A-A441-7D020D7FFB95}" name="data_ur" dataDxfId="17"/>
    <tableColumn id="5" xr3:uid="{A2D10B90-FE5D-43A1-B84E-E817D94B3F6F}" name="miejsce_ur" dataDxfId="16"/>
    <tableColumn id="6" xr3:uid="{113E2255-5F94-49E7-A1EC-6805F32CDFD3}" name="miejscowosc" dataDxfId="15"/>
    <tableColumn id="7" xr3:uid="{31A18BF9-1AC6-4DDD-A7C8-14044551B62B}" name="żona/mąż" dataDxfId="14"/>
    <tableColumn id="8" xr3:uid="{4E055013-1C08-423D-A6F5-C5DAC6D33FA8}" name="dzieci" dataDxfId="13"/>
    <tableColumn id="9" xr3:uid="{B898198B-C380-41DB-A891-07FFB03B6DEA}" name="jezyk" dataDxfId="12"/>
    <tableColumn id="10" xr3:uid="{BBBC1D88-D294-43E3-BC03-997F62E5EEF9}" name="zatrudniony" dataDxfId="11"/>
    <tableColumn id="11" xr3:uid="{D76EA255-88F6-427F-9E8F-36C8CCAEDB71}" name="dzial" dataDxfId="10"/>
    <tableColumn id="12" xr3:uid="{ABA32D33-64B7-4E8A-A4C8-ECEEC04AEEF1}" name="stanowisko" dataDxfId="9"/>
    <tableColumn id="13" xr3:uid="{607E4A88-62BD-427A-80A9-80669815A4CF}" name="Rocznie" dataDxfId="8"/>
    <tableColumn id="14" xr3:uid="{DA3372CD-0060-4C0F-AF18-FFB54F748F37}" name="Dochód na każdego członka rodziny " dataDxfId="7"/>
    <tableColumn id="15" xr3:uid="{CB9DADB0-F27C-4286-92F0-6E404C006E8A}" name="Ukończone lata" dataDxfId="6">
      <calculatedColumnFormula>DATEDIF(D2,TODAY(),"Y")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8EEE9-F662-45C3-81D0-8344C91F6A4E}" name="Tabela3" displayName="Tabela3" ref="A1:B121" totalsRowShown="0" headerRowDxfId="5" headerRowBorderDxfId="3" tableBorderDxfId="4" totalsRowBorderDxfId="2">
  <autoFilter ref="A1:B121" xr:uid="{34293D7C-64EF-417F-A2A7-D1D504592D02}"/>
  <tableColumns count="2">
    <tableColumn id="1" xr3:uid="{ECD979CE-2500-48B0-B00B-9A478253903A}" name="dzial" dataDxfId="1"/>
    <tableColumn id="2" xr3:uid="{B7DBDD8C-88E8-4C74-99B5-B86986D2E7FB}" name="Roczn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opLeftCell="E3" workbookViewId="0">
      <selection activeCell="P9" sqref="P9"/>
    </sheetView>
  </sheetViews>
  <sheetFormatPr defaultRowHeight="15"/>
  <cols>
    <col min="2" max="2" width="14.28515625" bestFit="1" customWidth="1"/>
    <col min="3" max="3" width="11" bestFit="1" customWidth="1"/>
    <col min="4" max="4" width="10.7109375" bestFit="1" customWidth="1"/>
    <col min="5" max="5" width="19.42578125" bestFit="1" customWidth="1"/>
    <col min="6" max="6" width="14.85546875" bestFit="1" customWidth="1"/>
    <col min="7" max="7" width="11.7109375" bestFit="1" customWidth="1"/>
    <col min="9" max="9" width="19" bestFit="1" customWidth="1"/>
    <col min="10" max="10" width="13.5703125" bestFit="1" customWidth="1"/>
    <col min="11" max="11" width="11.7109375" bestFit="1" customWidth="1"/>
    <col min="12" max="12" width="15.7109375" bestFit="1" customWidth="1"/>
    <col min="13" max="13" width="10.140625" bestFit="1" customWidth="1"/>
    <col min="14" max="14" width="36.5703125" bestFit="1" customWidth="1"/>
    <col min="15" max="15" width="24.85546875" bestFit="1" customWidth="1"/>
  </cols>
  <sheetData>
    <row r="1" spans="1:1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0" t="s">
        <v>13</v>
      </c>
      <c r="O1" s="20" t="s">
        <v>14</v>
      </c>
    </row>
    <row r="2" spans="1:15">
      <c r="A2" s="1">
        <v>1</v>
      </c>
      <c r="B2" s="1" t="s">
        <v>15</v>
      </c>
      <c r="C2" s="1" t="s">
        <v>16</v>
      </c>
      <c r="D2" s="2">
        <v>34902</v>
      </c>
      <c r="E2" s="1" t="s">
        <v>17</v>
      </c>
      <c r="F2" s="1" t="s">
        <v>18</v>
      </c>
      <c r="G2" s="1" t="s">
        <v>19</v>
      </c>
      <c r="H2" s="1">
        <v>3</v>
      </c>
      <c r="I2" s="1" t="s">
        <v>20</v>
      </c>
      <c r="J2" s="2">
        <v>40021</v>
      </c>
      <c r="K2" s="1" t="s">
        <v>21</v>
      </c>
      <c r="L2" s="1" t="s">
        <v>22</v>
      </c>
      <c r="M2" s="3">
        <v>83269</v>
      </c>
      <c r="N2" s="18">
        <f>M2 / (H2 + 2)</f>
        <v>16653.8</v>
      </c>
      <c r="O2" s="17">
        <f ca="1">DATEDIF(D2,TODAY(),"Y")</f>
        <v>30</v>
      </c>
    </row>
    <row r="3" spans="1:15">
      <c r="A3" s="1">
        <v>2</v>
      </c>
      <c r="B3" s="1" t="s">
        <v>23</v>
      </c>
      <c r="C3" s="1" t="s">
        <v>24</v>
      </c>
      <c r="D3" s="2">
        <v>35318</v>
      </c>
      <c r="E3" s="1" t="s">
        <v>25</v>
      </c>
      <c r="F3" s="1" t="s">
        <v>26</v>
      </c>
      <c r="G3" s="1" t="s">
        <v>27</v>
      </c>
      <c r="H3" s="1">
        <v>0</v>
      </c>
      <c r="I3" s="1" t="s">
        <v>28</v>
      </c>
      <c r="J3" s="2">
        <v>39340</v>
      </c>
      <c r="K3" s="1" t="s">
        <v>21</v>
      </c>
      <c r="L3" s="1" t="s">
        <v>22</v>
      </c>
      <c r="M3" s="3">
        <v>98185</v>
      </c>
      <c r="N3" s="14">
        <f>M3 / (H3 + 1)</f>
        <v>98185</v>
      </c>
      <c r="O3" s="17">
        <f t="shared" ref="O2:O33" ca="1" si="0">DATEDIF(D3,TODAY(),"Y")</f>
        <v>29</v>
      </c>
    </row>
    <row r="4" spans="1:15">
      <c r="A4" s="1">
        <v>3</v>
      </c>
      <c r="B4" s="1" t="s">
        <v>23</v>
      </c>
      <c r="C4" s="1" t="s">
        <v>29</v>
      </c>
      <c r="D4" s="2">
        <v>28958</v>
      </c>
      <c r="E4" s="1" t="s">
        <v>30</v>
      </c>
      <c r="F4" s="1" t="s">
        <v>31</v>
      </c>
      <c r="G4" s="1" t="s">
        <v>19</v>
      </c>
      <c r="H4" s="1">
        <v>4</v>
      </c>
      <c r="I4" s="1" t="s">
        <v>20</v>
      </c>
      <c r="J4" s="2">
        <v>41240</v>
      </c>
      <c r="K4" s="1" t="s">
        <v>32</v>
      </c>
      <c r="L4" s="1" t="s">
        <v>33</v>
      </c>
      <c r="M4" s="3">
        <v>63283</v>
      </c>
      <c r="N4" s="18">
        <f t="shared" ref="N4:N11" si="1">M4 / (H4 + 2)</f>
        <v>10547.166666666666</v>
      </c>
      <c r="O4" s="17">
        <f t="shared" ca="1" si="0"/>
        <v>46</v>
      </c>
    </row>
    <row r="5" spans="1:15">
      <c r="A5" s="1">
        <v>4</v>
      </c>
      <c r="B5" s="1" t="s">
        <v>34</v>
      </c>
      <c r="C5" s="1" t="s">
        <v>24</v>
      </c>
      <c r="D5" s="2">
        <v>33293</v>
      </c>
      <c r="E5" s="1" t="s">
        <v>35</v>
      </c>
      <c r="F5" s="1" t="s">
        <v>36</v>
      </c>
      <c r="G5" s="1" t="s">
        <v>19</v>
      </c>
      <c r="H5" s="1">
        <v>5</v>
      </c>
      <c r="I5" s="1" t="s">
        <v>37</v>
      </c>
      <c r="J5" s="2">
        <v>38806</v>
      </c>
      <c r="K5" s="1" t="s">
        <v>32</v>
      </c>
      <c r="L5" s="1" t="s">
        <v>38</v>
      </c>
      <c r="M5" s="3">
        <v>186556</v>
      </c>
      <c r="N5" s="18">
        <f t="shared" si="1"/>
        <v>26650.857142857141</v>
      </c>
      <c r="O5" s="17">
        <f t="shared" ca="1" si="0"/>
        <v>34</v>
      </c>
    </row>
    <row r="6" spans="1:15">
      <c r="A6" s="1">
        <v>5</v>
      </c>
      <c r="B6" s="1" t="s">
        <v>34</v>
      </c>
      <c r="C6" s="1" t="s">
        <v>39</v>
      </c>
      <c r="D6" s="2">
        <v>31896</v>
      </c>
      <c r="E6" s="1" t="s">
        <v>35</v>
      </c>
      <c r="F6" s="1" t="s">
        <v>40</v>
      </c>
      <c r="G6" s="1" t="s">
        <v>19</v>
      </c>
      <c r="H6" s="1">
        <v>2</v>
      </c>
      <c r="I6" s="1" t="s">
        <v>41</v>
      </c>
      <c r="J6" s="2">
        <v>39875</v>
      </c>
      <c r="K6" s="1" t="s">
        <v>32</v>
      </c>
      <c r="L6" s="1" t="s">
        <v>33</v>
      </c>
      <c r="M6" s="3">
        <v>125380</v>
      </c>
      <c r="N6" s="18">
        <f t="shared" si="1"/>
        <v>31345</v>
      </c>
      <c r="O6" s="17">
        <f t="shared" ca="1" si="0"/>
        <v>38</v>
      </c>
    </row>
    <row r="7" spans="1:15">
      <c r="A7" s="1">
        <v>6</v>
      </c>
      <c r="B7" s="1" t="s">
        <v>42</v>
      </c>
      <c r="C7" s="1" t="s">
        <v>43</v>
      </c>
      <c r="D7" s="2">
        <v>28874</v>
      </c>
      <c r="E7" s="1" t="s">
        <v>44</v>
      </c>
      <c r="F7" s="1" t="s">
        <v>31</v>
      </c>
      <c r="G7" s="1" t="s">
        <v>19</v>
      </c>
      <c r="H7" s="1">
        <v>2</v>
      </c>
      <c r="I7" s="1" t="s">
        <v>45</v>
      </c>
      <c r="J7" s="2">
        <v>40703</v>
      </c>
      <c r="K7" s="1" t="s">
        <v>46</v>
      </c>
      <c r="L7" s="1" t="s">
        <v>47</v>
      </c>
      <c r="M7" s="3">
        <v>92650</v>
      </c>
      <c r="N7" s="18">
        <f t="shared" si="1"/>
        <v>23162.5</v>
      </c>
      <c r="O7" s="17">
        <f t="shared" ca="1" si="0"/>
        <v>47</v>
      </c>
    </row>
    <row r="8" spans="1:15">
      <c r="A8" s="1">
        <v>7</v>
      </c>
      <c r="B8" s="1" t="s">
        <v>48</v>
      </c>
      <c r="C8" s="1" t="s">
        <v>49</v>
      </c>
      <c r="D8" s="2">
        <v>27895</v>
      </c>
      <c r="E8" s="1" t="s">
        <v>50</v>
      </c>
      <c r="F8" s="1" t="s">
        <v>36</v>
      </c>
      <c r="G8" s="1" t="s">
        <v>19</v>
      </c>
      <c r="H8" s="1">
        <v>2</v>
      </c>
      <c r="I8" s="1" t="s">
        <v>51</v>
      </c>
      <c r="J8" s="2">
        <v>41300</v>
      </c>
      <c r="K8" s="1" t="s">
        <v>21</v>
      </c>
      <c r="L8" s="1" t="s">
        <v>22</v>
      </c>
      <c r="M8" s="3">
        <v>70726</v>
      </c>
      <c r="N8" s="18">
        <f t="shared" si="1"/>
        <v>17681.5</v>
      </c>
      <c r="O8" s="17">
        <f t="shared" ca="1" si="0"/>
        <v>49</v>
      </c>
    </row>
    <row r="9" spans="1:15">
      <c r="A9" s="1">
        <v>8</v>
      </c>
      <c r="B9" s="1" t="s">
        <v>52</v>
      </c>
      <c r="C9" s="1" t="s">
        <v>53</v>
      </c>
      <c r="D9" s="2">
        <v>26913</v>
      </c>
      <c r="E9" s="1" t="s">
        <v>54</v>
      </c>
      <c r="F9" s="1" t="s">
        <v>54</v>
      </c>
      <c r="G9" s="1" t="s">
        <v>19</v>
      </c>
      <c r="H9" s="1">
        <v>0</v>
      </c>
      <c r="I9" s="1" t="s">
        <v>45</v>
      </c>
      <c r="J9" s="2">
        <v>40684</v>
      </c>
      <c r="K9" s="1" t="s">
        <v>32</v>
      </c>
      <c r="L9" s="1" t="s">
        <v>55</v>
      </c>
      <c r="M9" s="3">
        <v>74200</v>
      </c>
      <c r="N9" s="18">
        <f t="shared" si="1"/>
        <v>37100</v>
      </c>
      <c r="O9" s="17">
        <f t="shared" ca="1" si="0"/>
        <v>52</v>
      </c>
    </row>
    <row r="10" spans="1:15">
      <c r="A10" s="1">
        <v>9</v>
      </c>
      <c r="B10" s="1" t="s">
        <v>56</v>
      </c>
      <c r="C10" s="1" t="s">
        <v>57</v>
      </c>
      <c r="D10" s="2">
        <v>28785</v>
      </c>
      <c r="E10" s="1" t="s">
        <v>58</v>
      </c>
      <c r="F10" s="1" t="s">
        <v>54</v>
      </c>
      <c r="G10" s="1" t="s">
        <v>19</v>
      </c>
      <c r="H10" s="1">
        <v>2</v>
      </c>
      <c r="I10" s="1" t="s">
        <v>59</v>
      </c>
      <c r="J10" s="2">
        <v>39707</v>
      </c>
      <c r="K10" s="1" t="s">
        <v>32</v>
      </c>
      <c r="L10" s="1" t="s">
        <v>33</v>
      </c>
      <c r="M10" s="3">
        <v>92290</v>
      </c>
      <c r="N10" s="18">
        <f t="shared" si="1"/>
        <v>23072.5</v>
      </c>
      <c r="O10" s="17">
        <f t="shared" ca="1" si="0"/>
        <v>47</v>
      </c>
    </row>
    <row r="11" spans="1:15">
      <c r="A11" s="1">
        <v>10</v>
      </c>
      <c r="B11" s="1" t="s">
        <v>60</v>
      </c>
      <c r="C11" s="1" t="s">
        <v>61</v>
      </c>
      <c r="D11" s="2">
        <v>28240</v>
      </c>
      <c r="E11" s="1" t="s">
        <v>25</v>
      </c>
      <c r="F11" s="1" t="s">
        <v>54</v>
      </c>
      <c r="G11" s="1" t="s">
        <v>19</v>
      </c>
      <c r="H11" s="1">
        <v>4</v>
      </c>
      <c r="I11" s="1" t="s">
        <v>20</v>
      </c>
      <c r="J11" s="2">
        <v>38844</v>
      </c>
      <c r="K11" s="1" t="s">
        <v>32</v>
      </c>
      <c r="L11" s="1" t="s">
        <v>33</v>
      </c>
      <c r="M11" s="3">
        <v>63283</v>
      </c>
      <c r="N11" s="18">
        <f t="shared" si="1"/>
        <v>10547.166666666666</v>
      </c>
      <c r="O11" s="17">
        <f t="shared" ca="1" si="0"/>
        <v>48</v>
      </c>
    </row>
    <row r="12" spans="1:15">
      <c r="A12" s="1">
        <v>11</v>
      </c>
      <c r="B12" s="1" t="s">
        <v>62</v>
      </c>
      <c r="C12" s="1" t="s">
        <v>63</v>
      </c>
      <c r="D12" s="2">
        <v>26501</v>
      </c>
      <c r="E12" s="1" t="s">
        <v>54</v>
      </c>
      <c r="F12" s="1" t="s">
        <v>40</v>
      </c>
      <c r="G12" s="1" t="s">
        <v>27</v>
      </c>
      <c r="H12" s="1">
        <v>3</v>
      </c>
      <c r="I12" s="1" t="s">
        <v>64</v>
      </c>
      <c r="J12" s="2">
        <v>41392</v>
      </c>
      <c r="K12" s="1" t="s">
        <v>46</v>
      </c>
      <c r="L12" s="1" t="s">
        <v>47</v>
      </c>
      <c r="M12" s="3">
        <v>97690</v>
      </c>
      <c r="N12" s="14">
        <f t="shared" ref="N2:N33" si="2">M12 / (H12 + 1)</f>
        <v>24422.5</v>
      </c>
      <c r="O12" s="17">
        <f t="shared" ca="1" si="0"/>
        <v>53</v>
      </c>
    </row>
    <row r="13" spans="1:15">
      <c r="A13" s="1">
        <v>12</v>
      </c>
      <c r="B13" s="1" t="s">
        <v>65</v>
      </c>
      <c r="C13" s="1" t="s">
        <v>66</v>
      </c>
      <c r="D13" s="2">
        <v>30399</v>
      </c>
      <c r="E13" s="1" t="s">
        <v>67</v>
      </c>
      <c r="F13" s="1" t="s">
        <v>54</v>
      </c>
      <c r="G13" s="1" t="s">
        <v>19</v>
      </c>
      <c r="H13" s="1">
        <v>1</v>
      </c>
      <c r="I13" s="1" t="s">
        <v>20</v>
      </c>
      <c r="J13" s="2">
        <v>39709</v>
      </c>
      <c r="K13" s="1" t="s">
        <v>68</v>
      </c>
      <c r="L13" s="1" t="s">
        <v>69</v>
      </c>
      <c r="M13" s="3">
        <v>79600</v>
      </c>
      <c r="N13" s="18">
        <f t="shared" ref="N13:N27" si="3">M13 / (H13 + 2)</f>
        <v>26533.333333333332</v>
      </c>
      <c r="O13" s="17">
        <f t="shared" ca="1" si="0"/>
        <v>42</v>
      </c>
    </row>
    <row r="14" spans="1:15">
      <c r="A14" s="1">
        <v>13</v>
      </c>
      <c r="B14" s="1" t="s">
        <v>70</v>
      </c>
      <c r="C14" s="1" t="s">
        <v>71</v>
      </c>
      <c r="D14" s="2">
        <v>29465</v>
      </c>
      <c r="E14" s="1" t="s">
        <v>18</v>
      </c>
      <c r="F14" s="1" t="s">
        <v>36</v>
      </c>
      <c r="G14" s="1" t="s">
        <v>19</v>
      </c>
      <c r="H14" s="1">
        <v>2</v>
      </c>
      <c r="I14" s="1" t="s">
        <v>20</v>
      </c>
      <c r="J14" s="2">
        <v>41396</v>
      </c>
      <c r="K14" s="1" t="s">
        <v>21</v>
      </c>
      <c r="L14" s="1" t="s">
        <v>22</v>
      </c>
      <c r="M14" s="3">
        <v>83269</v>
      </c>
      <c r="N14" s="18">
        <f t="shared" si="3"/>
        <v>20817.25</v>
      </c>
      <c r="O14" s="17">
        <f t="shared" ca="1" si="0"/>
        <v>45</v>
      </c>
    </row>
    <row r="15" spans="1:15">
      <c r="A15" s="1">
        <v>14</v>
      </c>
      <c r="B15" s="1" t="s">
        <v>72</v>
      </c>
      <c r="C15" s="1" t="s">
        <v>73</v>
      </c>
      <c r="D15" s="2">
        <v>30626</v>
      </c>
      <c r="E15" s="1" t="s">
        <v>74</v>
      </c>
      <c r="F15" s="1" t="s">
        <v>36</v>
      </c>
      <c r="G15" s="1" t="s">
        <v>19</v>
      </c>
      <c r="H15" s="1">
        <v>0</v>
      </c>
      <c r="I15" s="1" t="s">
        <v>20</v>
      </c>
      <c r="J15" s="2">
        <v>39802</v>
      </c>
      <c r="K15" s="1" t="s">
        <v>21</v>
      </c>
      <c r="L15" s="1" t="s">
        <v>22</v>
      </c>
      <c r="M15" s="3">
        <v>100420</v>
      </c>
      <c r="N15" s="18">
        <f t="shared" si="3"/>
        <v>50210</v>
      </c>
      <c r="O15" s="17">
        <f t="shared" ca="1" si="0"/>
        <v>42</v>
      </c>
    </row>
    <row r="16" spans="1:15">
      <c r="A16" s="1">
        <v>15</v>
      </c>
      <c r="B16" s="1" t="s">
        <v>75</v>
      </c>
      <c r="C16" s="1" t="s">
        <v>76</v>
      </c>
      <c r="D16" s="2">
        <v>28234</v>
      </c>
      <c r="E16" s="1" t="s">
        <v>77</v>
      </c>
      <c r="F16" s="1" t="s">
        <v>18</v>
      </c>
      <c r="G16" s="1" t="s">
        <v>19</v>
      </c>
      <c r="H16" s="1">
        <v>1</v>
      </c>
      <c r="I16" s="1" t="s">
        <v>20</v>
      </c>
      <c r="J16" s="2">
        <v>39870</v>
      </c>
      <c r="K16" s="1" t="s">
        <v>32</v>
      </c>
      <c r="L16" s="1" t="s">
        <v>78</v>
      </c>
      <c r="M16" s="3">
        <v>79600</v>
      </c>
      <c r="N16" s="18">
        <f t="shared" si="3"/>
        <v>26533.333333333332</v>
      </c>
      <c r="O16" s="17">
        <f t="shared" ca="1" si="0"/>
        <v>48</v>
      </c>
    </row>
    <row r="17" spans="1:15">
      <c r="A17" s="1">
        <v>16</v>
      </c>
      <c r="B17" s="1" t="s">
        <v>79</v>
      </c>
      <c r="C17" s="1" t="s">
        <v>80</v>
      </c>
      <c r="D17" s="2">
        <v>28187</v>
      </c>
      <c r="E17" s="1" t="s">
        <v>25</v>
      </c>
      <c r="F17" s="1" t="s">
        <v>26</v>
      </c>
      <c r="G17" s="1" t="s">
        <v>19</v>
      </c>
      <c r="H17" s="1">
        <v>1</v>
      </c>
      <c r="I17" s="1" t="s">
        <v>81</v>
      </c>
      <c r="J17" s="2">
        <v>39317</v>
      </c>
      <c r="K17" s="1" t="s">
        <v>21</v>
      </c>
      <c r="L17" s="1" t="s">
        <v>22</v>
      </c>
      <c r="M17" s="3">
        <v>79600</v>
      </c>
      <c r="N17" s="18">
        <f t="shared" si="3"/>
        <v>26533.333333333332</v>
      </c>
      <c r="O17" s="17">
        <f t="shared" ca="1" si="0"/>
        <v>48</v>
      </c>
    </row>
    <row r="18" spans="1:15">
      <c r="A18" s="1">
        <v>17</v>
      </c>
      <c r="B18" s="1" t="s">
        <v>82</v>
      </c>
      <c r="C18" s="1" t="s">
        <v>83</v>
      </c>
      <c r="D18" s="2">
        <v>26227</v>
      </c>
      <c r="E18" s="1" t="s">
        <v>25</v>
      </c>
      <c r="F18" s="1" t="s">
        <v>18</v>
      </c>
      <c r="G18" s="1" t="s">
        <v>19</v>
      </c>
      <c r="H18" s="1">
        <v>3</v>
      </c>
      <c r="I18" s="1" t="s">
        <v>20</v>
      </c>
      <c r="J18" s="2">
        <v>39565</v>
      </c>
      <c r="K18" s="1" t="s">
        <v>32</v>
      </c>
      <c r="L18" s="1" t="s">
        <v>78</v>
      </c>
      <c r="M18" s="3">
        <v>56995</v>
      </c>
      <c r="N18" s="18">
        <f t="shared" si="3"/>
        <v>11399</v>
      </c>
      <c r="O18" s="17">
        <f t="shared" ca="1" si="0"/>
        <v>54</v>
      </c>
    </row>
    <row r="19" spans="1:15">
      <c r="A19" s="1">
        <v>18</v>
      </c>
      <c r="B19" s="1" t="s">
        <v>84</v>
      </c>
      <c r="C19" s="1" t="s">
        <v>85</v>
      </c>
      <c r="D19" s="2">
        <v>30718</v>
      </c>
      <c r="E19" s="1" t="s">
        <v>54</v>
      </c>
      <c r="F19" s="1" t="s">
        <v>86</v>
      </c>
      <c r="G19" s="1" t="s">
        <v>19</v>
      </c>
      <c r="H19" s="1">
        <v>3</v>
      </c>
      <c r="I19" s="1" t="s">
        <v>45</v>
      </c>
      <c r="J19" s="2">
        <v>39916</v>
      </c>
      <c r="K19" s="1" t="s">
        <v>87</v>
      </c>
      <c r="L19" s="1" t="s">
        <v>88</v>
      </c>
      <c r="M19" s="3">
        <v>83200</v>
      </c>
      <c r="N19" s="18">
        <f t="shared" si="3"/>
        <v>16640</v>
      </c>
      <c r="O19" s="17">
        <f t="shared" ca="1" si="0"/>
        <v>41</v>
      </c>
    </row>
    <row r="20" spans="1:15">
      <c r="A20" s="1">
        <v>19</v>
      </c>
      <c r="B20" s="1" t="s">
        <v>84</v>
      </c>
      <c r="C20" s="1" t="s">
        <v>89</v>
      </c>
      <c r="D20" s="2">
        <v>29537</v>
      </c>
      <c r="E20" s="1" t="s">
        <v>90</v>
      </c>
      <c r="F20" s="1" t="s">
        <v>90</v>
      </c>
      <c r="G20" s="1" t="s">
        <v>19</v>
      </c>
      <c r="H20" s="1">
        <v>2</v>
      </c>
      <c r="I20" s="1" t="s">
        <v>37</v>
      </c>
      <c r="J20" s="2">
        <v>40660</v>
      </c>
      <c r="K20" s="1" t="s">
        <v>32</v>
      </c>
      <c r="L20" s="1" t="s">
        <v>78</v>
      </c>
      <c r="M20" s="3">
        <v>127018</v>
      </c>
      <c r="N20" s="18">
        <f t="shared" si="3"/>
        <v>31754.5</v>
      </c>
      <c r="O20" s="17">
        <f t="shared" ca="1" si="0"/>
        <v>45</v>
      </c>
    </row>
    <row r="21" spans="1:15">
      <c r="A21" s="1">
        <v>20</v>
      </c>
      <c r="B21" s="1" t="s">
        <v>91</v>
      </c>
      <c r="C21" s="1" t="s">
        <v>92</v>
      </c>
      <c r="D21" s="2">
        <v>30399</v>
      </c>
      <c r="E21" s="1" t="s">
        <v>93</v>
      </c>
      <c r="F21" s="1" t="s">
        <v>90</v>
      </c>
      <c r="G21" s="1" t="s">
        <v>19</v>
      </c>
      <c r="H21" s="1">
        <v>1</v>
      </c>
      <c r="I21" s="1" t="s">
        <v>37</v>
      </c>
      <c r="J21" s="2">
        <v>39880</v>
      </c>
      <c r="K21" s="1" t="s">
        <v>21</v>
      </c>
      <c r="L21" s="1" t="s">
        <v>94</v>
      </c>
      <c r="M21" s="3">
        <v>73000</v>
      </c>
      <c r="N21" s="18">
        <f t="shared" si="3"/>
        <v>24333.333333333332</v>
      </c>
      <c r="O21" s="17">
        <f t="shared" ca="1" si="0"/>
        <v>42</v>
      </c>
    </row>
    <row r="22" spans="1:15">
      <c r="A22" s="1">
        <v>21</v>
      </c>
      <c r="B22" s="1" t="s">
        <v>95</v>
      </c>
      <c r="C22" s="1" t="s">
        <v>96</v>
      </c>
      <c r="D22" s="2">
        <v>27812</v>
      </c>
      <c r="E22" s="1" t="s">
        <v>97</v>
      </c>
      <c r="F22" s="1" t="s">
        <v>36</v>
      </c>
      <c r="G22" s="1" t="s">
        <v>19</v>
      </c>
      <c r="H22" s="1">
        <v>3</v>
      </c>
      <c r="I22" s="1" t="s">
        <v>45</v>
      </c>
      <c r="J22" s="2">
        <v>41049</v>
      </c>
      <c r="K22" s="1" t="s">
        <v>21</v>
      </c>
      <c r="L22" s="1" t="s">
        <v>22</v>
      </c>
      <c r="M22" s="3">
        <v>114760</v>
      </c>
      <c r="N22" s="18">
        <f t="shared" si="3"/>
        <v>22952</v>
      </c>
      <c r="O22" s="17">
        <f t="shared" ca="1" si="0"/>
        <v>49</v>
      </c>
    </row>
    <row r="23" spans="1:15">
      <c r="A23" s="1">
        <v>22</v>
      </c>
      <c r="B23" s="1" t="s">
        <v>98</v>
      </c>
      <c r="C23" s="1" t="s">
        <v>99</v>
      </c>
      <c r="D23" s="2">
        <v>24065</v>
      </c>
      <c r="E23" s="1" t="s">
        <v>26</v>
      </c>
      <c r="F23" s="1" t="s">
        <v>36</v>
      </c>
      <c r="G23" s="1" t="s">
        <v>19</v>
      </c>
      <c r="H23" s="1">
        <v>1</v>
      </c>
      <c r="I23" s="1" t="s">
        <v>81</v>
      </c>
      <c r="J23" s="2">
        <v>40781</v>
      </c>
      <c r="K23" s="1" t="s">
        <v>21</v>
      </c>
      <c r="L23" s="1" t="s">
        <v>22</v>
      </c>
      <c r="M23" s="3">
        <v>79600</v>
      </c>
      <c r="N23" s="18">
        <f t="shared" si="3"/>
        <v>26533.333333333332</v>
      </c>
      <c r="O23" s="17">
        <f t="shared" ca="1" si="0"/>
        <v>60</v>
      </c>
    </row>
    <row r="24" spans="1:15">
      <c r="A24" s="1">
        <v>23</v>
      </c>
      <c r="B24" s="1" t="s">
        <v>100</v>
      </c>
      <c r="C24" s="1" t="s">
        <v>101</v>
      </c>
      <c r="D24" s="2">
        <v>27648</v>
      </c>
      <c r="E24" s="1" t="s">
        <v>25</v>
      </c>
      <c r="F24" s="1" t="s">
        <v>18</v>
      </c>
      <c r="G24" s="1" t="s">
        <v>19</v>
      </c>
      <c r="H24" s="1">
        <v>2</v>
      </c>
      <c r="I24" s="1" t="s">
        <v>45</v>
      </c>
      <c r="J24" s="2">
        <v>39470</v>
      </c>
      <c r="K24" s="1" t="s">
        <v>32</v>
      </c>
      <c r="L24" s="1" t="s">
        <v>78</v>
      </c>
      <c r="M24" s="3">
        <v>125380</v>
      </c>
      <c r="N24" s="18">
        <f t="shared" si="3"/>
        <v>31345</v>
      </c>
      <c r="O24" s="17">
        <f t="shared" ca="1" si="0"/>
        <v>50</v>
      </c>
    </row>
    <row r="25" spans="1:15">
      <c r="A25" s="1">
        <v>24</v>
      </c>
      <c r="B25" s="1" t="s">
        <v>102</v>
      </c>
      <c r="C25" s="1" t="s">
        <v>103</v>
      </c>
      <c r="D25" s="2">
        <v>28122</v>
      </c>
      <c r="E25" s="1" t="s">
        <v>25</v>
      </c>
      <c r="F25" s="1" t="s">
        <v>26</v>
      </c>
      <c r="G25" s="1" t="s">
        <v>19</v>
      </c>
      <c r="H25" s="1">
        <v>1</v>
      </c>
      <c r="I25" s="1" t="s">
        <v>59</v>
      </c>
      <c r="J25" s="2">
        <v>39370</v>
      </c>
      <c r="K25" s="1" t="s">
        <v>21</v>
      </c>
      <c r="L25" s="1" t="s">
        <v>22</v>
      </c>
      <c r="M25" s="3">
        <v>91996</v>
      </c>
      <c r="N25" s="18">
        <f t="shared" si="3"/>
        <v>30665.333333333332</v>
      </c>
      <c r="O25" s="17">
        <f t="shared" ca="1" si="0"/>
        <v>49</v>
      </c>
    </row>
    <row r="26" spans="1:15">
      <c r="A26" s="1">
        <v>25</v>
      </c>
      <c r="B26" s="1" t="s">
        <v>104</v>
      </c>
      <c r="C26" s="1" t="s">
        <v>63</v>
      </c>
      <c r="D26" s="2">
        <v>34652</v>
      </c>
      <c r="E26" s="1" t="s">
        <v>105</v>
      </c>
      <c r="F26" s="1" t="s">
        <v>18</v>
      </c>
      <c r="G26" s="1" t="s">
        <v>19</v>
      </c>
      <c r="H26" s="1">
        <v>2</v>
      </c>
      <c r="I26" s="1" t="s">
        <v>37</v>
      </c>
      <c r="J26" s="2">
        <v>39497</v>
      </c>
      <c r="K26" s="1" t="s">
        <v>32</v>
      </c>
      <c r="L26" s="1" t="s">
        <v>78</v>
      </c>
      <c r="M26" s="3">
        <v>127018</v>
      </c>
      <c r="N26" s="18">
        <f t="shared" si="3"/>
        <v>31754.5</v>
      </c>
      <c r="O26" s="17">
        <f t="shared" ca="1" si="0"/>
        <v>31</v>
      </c>
    </row>
    <row r="27" spans="1:15">
      <c r="A27" s="1">
        <v>26</v>
      </c>
      <c r="B27" s="1" t="s">
        <v>106</v>
      </c>
      <c r="C27" s="1" t="s">
        <v>107</v>
      </c>
      <c r="D27" s="2">
        <v>34357</v>
      </c>
      <c r="E27" s="1" t="s">
        <v>108</v>
      </c>
      <c r="F27" s="1" t="s">
        <v>36</v>
      </c>
      <c r="G27" s="1" t="s">
        <v>19</v>
      </c>
      <c r="H27" s="1">
        <v>1</v>
      </c>
      <c r="I27" s="1" t="s">
        <v>45</v>
      </c>
      <c r="J27" s="2">
        <v>39689</v>
      </c>
      <c r="K27" s="1" t="s">
        <v>32</v>
      </c>
      <c r="L27" s="1" t="s">
        <v>78</v>
      </c>
      <c r="M27" s="3">
        <v>118900</v>
      </c>
      <c r="N27" s="18">
        <f t="shared" si="3"/>
        <v>39633.333333333336</v>
      </c>
      <c r="O27" s="17">
        <f t="shared" ca="1" si="0"/>
        <v>32</v>
      </c>
    </row>
    <row r="28" spans="1:15">
      <c r="A28" s="1">
        <v>27</v>
      </c>
      <c r="B28" s="1" t="s">
        <v>109</v>
      </c>
      <c r="C28" s="1" t="s">
        <v>110</v>
      </c>
      <c r="D28" s="2">
        <v>26553</v>
      </c>
      <c r="E28" s="1" t="s">
        <v>111</v>
      </c>
      <c r="F28" s="1" t="s">
        <v>54</v>
      </c>
      <c r="G28" s="1" t="s">
        <v>27</v>
      </c>
      <c r="H28" s="1">
        <v>0</v>
      </c>
      <c r="I28" s="1" t="s">
        <v>20</v>
      </c>
      <c r="J28" s="2">
        <v>39898</v>
      </c>
      <c r="K28" s="1" t="s">
        <v>32</v>
      </c>
      <c r="L28" s="1" t="s">
        <v>33</v>
      </c>
      <c r="M28" s="3">
        <v>105044</v>
      </c>
      <c r="N28" s="14">
        <f t="shared" si="2"/>
        <v>105044</v>
      </c>
      <c r="O28" s="17">
        <f t="shared" ca="1" si="0"/>
        <v>53</v>
      </c>
    </row>
    <row r="29" spans="1:15">
      <c r="A29" s="1">
        <v>28</v>
      </c>
      <c r="B29" s="1" t="s">
        <v>112</v>
      </c>
      <c r="C29" s="1" t="s">
        <v>113</v>
      </c>
      <c r="D29" s="2">
        <v>29207</v>
      </c>
      <c r="E29" s="1" t="s">
        <v>114</v>
      </c>
      <c r="F29" s="1" t="s">
        <v>18</v>
      </c>
      <c r="G29" s="1" t="s">
        <v>19</v>
      </c>
      <c r="H29" s="1">
        <v>1</v>
      </c>
      <c r="I29" s="1" t="s">
        <v>64</v>
      </c>
      <c r="J29" s="2">
        <v>39937</v>
      </c>
      <c r="K29" s="1" t="s">
        <v>21</v>
      </c>
      <c r="L29" s="1" t="s">
        <v>22</v>
      </c>
      <c r="M29" s="3">
        <v>66760</v>
      </c>
      <c r="N29" s="18">
        <f t="shared" ref="N29:N37" si="4">M29 / (H29 + 2)</f>
        <v>22253.333333333332</v>
      </c>
      <c r="O29" s="17">
        <f t="shared" ca="1" si="0"/>
        <v>46</v>
      </c>
    </row>
    <row r="30" spans="1:15">
      <c r="A30" s="1">
        <v>29</v>
      </c>
      <c r="B30" s="1" t="s">
        <v>115</v>
      </c>
      <c r="C30" s="1" t="s">
        <v>113</v>
      </c>
      <c r="D30" s="2">
        <v>26952</v>
      </c>
      <c r="E30" s="1" t="s">
        <v>116</v>
      </c>
      <c r="F30" s="1" t="s">
        <v>18</v>
      </c>
      <c r="G30" s="1" t="s">
        <v>19</v>
      </c>
      <c r="H30" s="1">
        <v>1</v>
      </c>
      <c r="I30" s="1" t="s">
        <v>45</v>
      </c>
      <c r="J30" s="2">
        <v>39564</v>
      </c>
      <c r="K30" s="1" t="s">
        <v>32</v>
      </c>
      <c r="L30" s="1" t="s">
        <v>78</v>
      </c>
      <c r="M30" s="3">
        <v>118900</v>
      </c>
      <c r="N30" s="18">
        <f t="shared" si="4"/>
        <v>39633.333333333336</v>
      </c>
      <c r="O30" s="17">
        <f t="shared" ca="1" si="0"/>
        <v>52</v>
      </c>
    </row>
    <row r="31" spans="1:15">
      <c r="A31" s="1">
        <v>30</v>
      </c>
      <c r="B31" s="1" t="s">
        <v>117</v>
      </c>
      <c r="C31" s="1" t="s">
        <v>118</v>
      </c>
      <c r="D31" s="2">
        <v>27049</v>
      </c>
      <c r="E31" s="1" t="s">
        <v>119</v>
      </c>
      <c r="F31" s="1" t="s">
        <v>111</v>
      </c>
      <c r="G31" s="1" t="s">
        <v>19</v>
      </c>
      <c r="H31" s="1">
        <v>3</v>
      </c>
      <c r="I31" s="1" t="s">
        <v>45</v>
      </c>
      <c r="J31" s="2">
        <v>39938</v>
      </c>
      <c r="K31" s="1" t="s">
        <v>21</v>
      </c>
      <c r="L31" s="1" t="s">
        <v>22</v>
      </c>
      <c r="M31" s="3">
        <v>114760</v>
      </c>
      <c r="N31" s="18">
        <f t="shared" si="4"/>
        <v>22952</v>
      </c>
      <c r="O31" s="17">
        <f t="shared" ca="1" si="0"/>
        <v>52</v>
      </c>
    </row>
    <row r="32" spans="1:15">
      <c r="A32" s="1">
        <v>31</v>
      </c>
      <c r="B32" s="1" t="s">
        <v>120</v>
      </c>
      <c r="C32" s="1" t="s">
        <v>121</v>
      </c>
      <c r="D32" s="2">
        <v>28186</v>
      </c>
      <c r="E32" s="1" t="s">
        <v>25</v>
      </c>
      <c r="F32" s="1" t="s">
        <v>122</v>
      </c>
      <c r="G32" s="1" t="s">
        <v>19</v>
      </c>
      <c r="H32" s="1">
        <v>5</v>
      </c>
      <c r="I32" s="1" t="s">
        <v>45</v>
      </c>
      <c r="J32" s="2">
        <v>39514</v>
      </c>
      <c r="K32" s="1" t="s">
        <v>87</v>
      </c>
      <c r="L32" s="1" t="s">
        <v>88</v>
      </c>
      <c r="M32" s="3">
        <v>83200</v>
      </c>
      <c r="N32" s="18">
        <f t="shared" si="4"/>
        <v>11885.714285714286</v>
      </c>
      <c r="O32" s="17">
        <f t="shared" ca="1" si="0"/>
        <v>48</v>
      </c>
    </row>
    <row r="33" spans="1:15">
      <c r="A33" s="1">
        <v>32</v>
      </c>
      <c r="B33" s="1" t="s">
        <v>123</v>
      </c>
      <c r="C33" s="1" t="s">
        <v>92</v>
      </c>
      <c r="D33" s="2">
        <v>31869</v>
      </c>
      <c r="E33" s="1" t="s">
        <v>18</v>
      </c>
      <c r="F33" s="1" t="s">
        <v>40</v>
      </c>
      <c r="G33" s="1" t="s">
        <v>19</v>
      </c>
      <c r="H33" s="1">
        <v>0</v>
      </c>
      <c r="I33" s="1" t="s">
        <v>37</v>
      </c>
      <c r="J33" s="2">
        <v>39473</v>
      </c>
      <c r="K33" s="1" t="s">
        <v>32</v>
      </c>
      <c r="L33" s="1" t="s">
        <v>124</v>
      </c>
      <c r="M33" s="3">
        <v>174340</v>
      </c>
      <c r="N33" s="18">
        <f t="shared" si="4"/>
        <v>87170</v>
      </c>
      <c r="O33" s="17">
        <f t="shared" ca="1" si="0"/>
        <v>38</v>
      </c>
    </row>
    <row r="34" spans="1:15">
      <c r="A34" s="1">
        <v>33</v>
      </c>
      <c r="B34" s="1" t="s">
        <v>125</v>
      </c>
      <c r="C34" s="1" t="s">
        <v>126</v>
      </c>
      <c r="D34" s="2">
        <v>31150</v>
      </c>
      <c r="E34" s="1" t="s">
        <v>93</v>
      </c>
      <c r="F34" s="1" t="s">
        <v>90</v>
      </c>
      <c r="G34" s="1" t="s">
        <v>19</v>
      </c>
      <c r="H34" s="1">
        <v>1</v>
      </c>
      <c r="I34" s="1" t="s">
        <v>127</v>
      </c>
      <c r="J34" s="2">
        <v>39867</v>
      </c>
      <c r="K34" s="1" t="s">
        <v>68</v>
      </c>
      <c r="L34" s="1" t="s">
        <v>88</v>
      </c>
      <c r="M34" s="3">
        <v>118330</v>
      </c>
      <c r="N34" s="18">
        <f t="shared" si="4"/>
        <v>39443.333333333336</v>
      </c>
      <c r="O34" s="17">
        <f t="shared" ref="O34:O65" ca="1" si="5">DATEDIF(D34,TODAY(),"Y")</f>
        <v>40</v>
      </c>
    </row>
    <row r="35" spans="1:15">
      <c r="A35" s="1">
        <v>34</v>
      </c>
      <c r="B35" s="1" t="s">
        <v>128</v>
      </c>
      <c r="C35" s="1" t="s">
        <v>129</v>
      </c>
      <c r="D35" s="2">
        <v>36127</v>
      </c>
      <c r="E35" s="1" t="s">
        <v>130</v>
      </c>
      <c r="F35" s="1" t="s">
        <v>131</v>
      </c>
      <c r="G35" s="1" t="s">
        <v>19</v>
      </c>
      <c r="H35" s="1">
        <v>1</v>
      </c>
      <c r="I35" s="1" t="s">
        <v>20</v>
      </c>
      <c r="J35" s="2">
        <v>39928</v>
      </c>
      <c r="K35" s="1" t="s">
        <v>32</v>
      </c>
      <c r="L35" s="1" t="s">
        <v>33</v>
      </c>
      <c r="M35" s="3">
        <v>108976</v>
      </c>
      <c r="N35" s="18">
        <f t="shared" si="4"/>
        <v>36325.333333333336</v>
      </c>
      <c r="O35" s="17">
        <f t="shared" ca="1" si="5"/>
        <v>27</v>
      </c>
    </row>
    <row r="36" spans="1:15">
      <c r="A36" s="1">
        <v>35</v>
      </c>
      <c r="B36" s="1" t="s">
        <v>132</v>
      </c>
      <c r="C36" s="1" t="s">
        <v>133</v>
      </c>
      <c r="D36" s="2">
        <v>23849</v>
      </c>
      <c r="E36" s="1" t="s">
        <v>134</v>
      </c>
      <c r="F36" s="1" t="s">
        <v>31</v>
      </c>
      <c r="G36" s="1" t="s">
        <v>19</v>
      </c>
      <c r="H36" s="1">
        <v>0</v>
      </c>
      <c r="I36" s="1" t="s">
        <v>45</v>
      </c>
      <c r="J36" s="2">
        <v>40780</v>
      </c>
      <c r="K36" s="1" t="s">
        <v>21</v>
      </c>
      <c r="L36" s="1" t="s">
        <v>22</v>
      </c>
      <c r="M36" s="3">
        <v>80185</v>
      </c>
      <c r="N36" s="18">
        <f t="shared" si="4"/>
        <v>40092.5</v>
      </c>
      <c r="O36" s="17">
        <f t="shared" ca="1" si="5"/>
        <v>60</v>
      </c>
    </row>
    <row r="37" spans="1:15">
      <c r="A37" s="1">
        <v>36</v>
      </c>
      <c r="B37" s="1" t="s">
        <v>132</v>
      </c>
      <c r="C37" s="1" t="s">
        <v>135</v>
      </c>
      <c r="D37" s="2">
        <v>26214</v>
      </c>
      <c r="E37" s="1" t="s">
        <v>26</v>
      </c>
      <c r="F37" s="1" t="s">
        <v>40</v>
      </c>
      <c r="G37" s="1" t="s">
        <v>19</v>
      </c>
      <c r="H37" s="1">
        <v>5</v>
      </c>
      <c r="I37" s="1" t="s">
        <v>45</v>
      </c>
      <c r="J37" s="2">
        <v>41300</v>
      </c>
      <c r="K37" s="1" t="s">
        <v>46</v>
      </c>
      <c r="L37" s="1" t="s">
        <v>47</v>
      </c>
      <c r="M37" s="3">
        <v>73750</v>
      </c>
      <c r="N37" s="18">
        <f t="shared" si="4"/>
        <v>10535.714285714286</v>
      </c>
      <c r="O37" s="17">
        <f t="shared" ca="1" si="5"/>
        <v>54</v>
      </c>
    </row>
    <row r="38" spans="1:15">
      <c r="A38" s="1">
        <v>37</v>
      </c>
      <c r="B38" s="1" t="s">
        <v>132</v>
      </c>
      <c r="C38" s="1" t="s">
        <v>29</v>
      </c>
      <c r="D38" s="2">
        <v>27997</v>
      </c>
      <c r="E38" s="1" t="s">
        <v>136</v>
      </c>
      <c r="F38" s="1" t="s">
        <v>36</v>
      </c>
      <c r="G38" s="1" t="s">
        <v>27</v>
      </c>
      <c r="H38" s="1">
        <v>2</v>
      </c>
      <c r="I38" s="1" t="s">
        <v>20</v>
      </c>
      <c r="J38" s="2">
        <v>41782</v>
      </c>
      <c r="K38" s="1" t="s">
        <v>21</v>
      </c>
      <c r="L38" s="1" t="s">
        <v>22</v>
      </c>
      <c r="M38" s="3">
        <v>113680</v>
      </c>
      <c r="N38" s="14">
        <f t="shared" ref="N34:N65" si="6">M38 / (H38 + 1)</f>
        <v>37893.333333333336</v>
      </c>
      <c r="O38" s="17">
        <f t="shared" ca="1" si="5"/>
        <v>49</v>
      </c>
    </row>
    <row r="39" spans="1:15">
      <c r="A39" s="1">
        <v>38</v>
      </c>
      <c r="B39" s="1" t="s">
        <v>137</v>
      </c>
      <c r="C39" s="1" t="s">
        <v>24</v>
      </c>
      <c r="D39" s="2">
        <v>28093</v>
      </c>
      <c r="E39" s="1" t="s">
        <v>138</v>
      </c>
      <c r="F39" s="1" t="s">
        <v>139</v>
      </c>
      <c r="G39" s="1" t="s">
        <v>19</v>
      </c>
      <c r="H39" s="1">
        <v>2</v>
      </c>
      <c r="I39" s="1" t="s">
        <v>20</v>
      </c>
      <c r="J39" s="2">
        <v>39370</v>
      </c>
      <c r="K39" s="1" t="s">
        <v>46</v>
      </c>
      <c r="L39" s="1" t="s">
        <v>47</v>
      </c>
      <c r="M39" s="3">
        <v>83500</v>
      </c>
      <c r="N39" s="18">
        <f t="shared" ref="N39:N48" si="7">M39 / (H39 + 2)</f>
        <v>20875</v>
      </c>
      <c r="O39" s="17">
        <f t="shared" ca="1" si="5"/>
        <v>49</v>
      </c>
    </row>
    <row r="40" spans="1:15">
      <c r="A40" s="1">
        <v>39</v>
      </c>
      <c r="B40" s="1" t="s">
        <v>140</v>
      </c>
      <c r="C40" s="1" t="s">
        <v>63</v>
      </c>
      <c r="D40" s="2">
        <v>27219</v>
      </c>
      <c r="E40" s="1" t="s">
        <v>25</v>
      </c>
      <c r="F40" s="1" t="s">
        <v>141</v>
      </c>
      <c r="G40" s="1" t="s">
        <v>19</v>
      </c>
      <c r="H40" s="1">
        <v>2</v>
      </c>
      <c r="I40" s="1" t="s">
        <v>142</v>
      </c>
      <c r="J40" s="2">
        <v>39685</v>
      </c>
      <c r="K40" s="1" t="s">
        <v>21</v>
      </c>
      <c r="L40" s="1" t="s">
        <v>22</v>
      </c>
      <c r="M40" s="3">
        <v>127900</v>
      </c>
      <c r="N40" s="18">
        <f t="shared" si="7"/>
        <v>31975</v>
      </c>
      <c r="O40" s="17">
        <f t="shared" ca="1" si="5"/>
        <v>51</v>
      </c>
    </row>
    <row r="41" spans="1:15">
      <c r="A41" s="1">
        <v>40</v>
      </c>
      <c r="B41" s="1" t="s">
        <v>143</v>
      </c>
      <c r="C41" s="1" t="s">
        <v>144</v>
      </c>
      <c r="D41" s="2">
        <v>26908</v>
      </c>
      <c r="E41" s="1" t="s">
        <v>145</v>
      </c>
      <c r="F41" s="1" t="s">
        <v>146</v>
      </c>
      <c r="G41" s="1" t="s">
        <v>19</v>
      </c>
      <c r="H41" s="1">
        <v>1</v>
      </c>
      <c r="I41" s="1" t="s">
        <v>20</v>
      </c>
      <c r="J41" s="2">
        <v>39313</v>
      </c>
      <c r="K41" s="1" t="s">
        <v>21</v>
      </c>
      <c r="L41" s="1" t="s">
        <v>22</v>
      </c>
      <c r="M41" s="3">
        <v>100420</v>
      </c>
      <c r="N41" s="18">
        <f t="shared" si="7"/>
        <v>33473.333333333336</v>
      </c>
      <c r="O41" s="17">
        <f t="shared" ca="1" si="5"/>
        <v>52</v>
      </c>
    </row>
    <row r="42" spans="1:15">
      <c r="A42" s="1">
        <v>41</v>
      </c>
      <c r="B42" s="1" t="s">
        <v>147</v>
      </c>
      <c r="C42" s="1" t="s">
        <v>148</v>
      </c>
      <c r="D42" s="2">
        <v>27894</v>
      </c>
      <c r="E42" s="1" t="s">
        <v>122</v>
      </c>
      <c r="F42" s="1" t="s">
        <v>36</v>
      </c>
      <c r="G42" s="1" t="s">
        <v>19</v>
      </c>
      <c r="H42" s="1">
        <v>1</v>
      </c>
      <c r="I42" s="1" t="s">
        <v>20</v>
      </c>
      <c r="J42" s="2">
        <v>41271</v>
      </c>
      <c r="K42" s="1" t="s">
        <v>149</v>
      </c>
      <c r="L42" s="1" t="s">
        <v>22</v>
      </c>
      <c r="M42" s="3">
        <v>58990</v>
      </c>
      <c r="N42" s="18">
        <f t="shared" si="7"/>
        <v>19663.333333333332</v>
      </c>
      <c r="O42" s="17">
        <f t="shared" ca="1" si="5"/>
        <v>49</v>
      </c>
    </row>
    <row r="43" spans="1:15">
      <c r="A43" s="1">
        <v>42</v>
      </c>
      <c r="B43" s="1" t="s">
        <v>147</v>
      </c>
      <c r="C43" s="1" t="s">
        <v>53</v>
      </c>
      <c r="D43" s="2">
        <v>21403</v>
      </c>
      <c r="E43" s="1" t="s">
        <v>150</v>
      </c>
      <c r="F43" s="1" t="s">
        <v>31</v>
      </c>
      <c r="G43" s="1" t="s">
        <v>19</v>
      </c>
      <c r="H43" s="1">
        <v>3</v>
      </c>
      <c r="I43" s="1" t="s">
        <v>20</v>
      </c>
      <c r="J43" s="2">
        <v>41356</v>
      </c>
      <c r="K43" s="1" t="s">
        <v>32</v>
      </c>
      <c r="L43" s="1" t="s">
        <v>78</v>
      </c>
      <c r="M43" s="3">
        <v>73720</v>
      </c>
      <c r="N43" s="18">
        <f t="shared" si="7"/>
        <v>14744</v>
      </c>
      <c r="O43" s="17">
        <f t="shared" ca="1" si="5"/>
        <v>67</v>
      </c>
    </row>
    <row r="44" spans="1:15">
      <c r="A44" s="1">
        <v>43</v>
      </c>
      <c r="B44" s="1" t="s">
        <v>151</v>
      </c>
      <c r="C44" s="1" t="s">
        <v>152</v>
      </c>
      <c r="D44" s="2">
        <v>29600</v>
      </c>
      <c r="E44" s="1" t="s">
        <v>25</v>
      </c>
      <c r="F44" s="1" t="s">
        <v>54</v>
      </c>
      <c r="G44" s="1" t="s">
        <v>19</v>
      </c>
      <c r="H44" s="1">
        <v>3</v>
      </c>
      <c r="I44" s="1" t="s">
        <v>45</v>
      </c>
      <c r="J44" s="2">
        <v>38834</v>
      </c>
      <c r="K44" s="1" t="s">
        <v>32</v>
      </c>
      <c r="L44" s="1" t="s">
        <v>33</v>
      </c>
      <c r="M44" s="3">
        <v>63130</v>
      </c>
      <c r="N44" s="18">
        <f t="shared" si="7"/>
        <v>12626</v>
      </c>
      <c r="O44" s="17">
        <f t="shared" ca="1" si="5"/>
        <v>45</v>
      </c>
    </row>
    <row r="45" spans="1:15">
      <c r="A45" s="1">
        <v>44</v>
      </c>
      <c r="B45" s="1" t="s">
        <v>153</v>
      </c>
      <c r="C45" s="1" t="s">
        <v>154</v>
      </c>
      <c r="D45" s="2">
        <v>28999</v>
      </c>
      <c r="E45" s="1" t="s">
        <v>155</v>
      </c>
      <c r="F45" s="1" t="s">
        <v>139</v>
      </c>
      <c r="G45" s="1" t="s">
        <v>19</v>
      </c>
      <c r="H45" s="1">
        <v>3</v>
      </c>
      <c r="I45" s="1" t="s">
        <v>20</v>
      </c>
      <c r="J45" s="2">
        <v>38808</v>
      </c>
      <c r="K45" s="1" t="s">
        <v>32</v>
      </c>
      <c r="L45" s="1" t="s">
        <v>55</v>
      </c>
      <c r="M45" s="3">
        <v>73720</v>
      </c>
      <c r="N45" s="18">
        <f t="shared" si="7"/>
        <v>14744</v>
      </c>
      <c r="O45" s="17">
        <f t="shared" ca="1" si="5"/>
        <v>46</v>
      </c>
    </row>
    <row r="46" spans="1:15">
      <c r="A46" s="1">
        <v>45</v>
      </c>
      <c r="B46" s="1" t="s">
        <v>156</v>
      </c>
      <c r="C46" s="1" t="s">
        <v>152</v>
      </c>
      <c r="D46" s="2">
        <v>27074</v>
      </c>
      <c r="E46" s="1" t="s">
        <v>157</v>
      </c>
      <c r="F46" s="1" t="s">
        <v>158</v>
      </c>
      <c r="G46" s="1" t="s">
        <v>19</v>
      </c>
      <c r="H46" s="1">
        <v>1</v>
      </c>
      <c r="I46" s="1" t="s">
        <v>37</v>
      </c>
      <c r="J46" s="2">
        <v>39538</v>
      </c>
      <c r="K46" s="1" t="s">
        <v>32</v>
      </c>
      <c r="L46" s="1" t="s">
        <v>33</v>
      </c>
      <c r="M46" s="3">
        <v>136000</v>
      </c>
      <c r="N46" s="18">
        <f t="shared" si="7"/>
        <v>45333.333333333336</v>
      </c>
      <c r="O46" s="17">
        <f t="shared" ca="1" si="5"/>
        <v>51</v>
      </c>
    </row>
    <row r="47" spans="1:15">
      <c r="A47" s="1">
        <v>46</v>
      </c>
      <c r="B47" s="1" t="s">
        <v>159</v>
      </c>
      <c r="C47" s="1" t="s">
        <v>160</v>
      </c>
      <c r="D47" s="2">
        <v>27795</v>
      </c>
      <c r="E47" s="1" t="s">
        <v>25</v>
      </c>
      <c r="F47" s="1" t="s">
        <v>54</v>
      </c>
      <c r="G47" s="1" t="s">
        <v>19</v>
      </c>
      <c r="H47" s="1">
        <v>1</v>
      </c>
      <c r="I47" s="1" t="s">
        <v>45</v>
      </c>
      <c r="J47" s="2">
        <v>38955</v>
      </c>
      <c r="K47" s="1" t="s">
        <v>32</v>
      </c>
      <c r="L47" s="1" t="s">
        <v>33</v>
      </c>
      <c r="M47" s="3">
        <v>103240</v>
      </c>
      <c r="N47" s="18">
        <f t="shared" si="7"/>
        <v>34413.333333333336</v>
      </c>
      <c r="O47" s="17">
        <f t="shared" ca="1" si="5"/>
        <v>49</v>
      </c>
    </row>
    <row r="48" spans="1:15">
      <c r="A48" s="1">
        <v>47</v>
      </c>
      <c r="B48" s="1" t="s">
        <v>159</v>
      </c>
      <c r="C48" s="1" t="s">
        <v>160</v>
      </c>
      <c r="D48" s="2">
        <v>30527</v>
      </c>
      <c r="E48" s="1" t="s">
        <v>161</v>
      </c>
      <c r="F48" s="1" t="s">
        <v>139</v>
      </c>
      <c r="G48" s="1" t="s">
        <v>19</v>
      </c>
      <c r="H48" s="1">
        <v>4</v>
      </c>
      <c r="I48" s="1" t="s">
        <v>45</v>
      </c>
      <c r="J48" s="2">
        <v>39657</v>
      </c>
      <c r="K48" s="1" t="s">
        <v>46</v>
      </c>
      <c r="L48" s="1" t="s">
        <v>47</v>
      </c>
      <c r="M48" s="3">
        <v>73750</v>
      </c>
      <c r="N48" s="18">
        <f t="shared" si="7"/>
        <v>12291.666666666666</v>
      </c>
      <c r="O48" s="17">
        <f t="shared" ca="1" si="5"/>
        <v>42</v>
      </c>
    </row>
    <row r="49" spans="1:15">
      <c r="A49" s="1">
        <v>48</v>
      </c>
      <c r="B49" s="1" t="s">
        <v>162</v>
      </c>
      <c r="C49" s="1" t="s">
        <v>154</v>
      </c>
      <c r="D49" s="2">
        <v>29219</v>
      </c>
      <c r="E49" s="1" t="s">
        <v>25</v>
      </c>
      <c r="F49" s="1" t="s">
        <v>163</v>
      </c>
      <c r="G49" s="1" t="s">
        <v>27</v>
      </c>
      <c r="H49" s="1">
        <v>2</v>
      </c>
      <c r="I49" s="1" t="s">
        <v>20</v>
      </c>
      <c r="J49" s="2">
        <v>38897</v>
      </c>
      <c r="K49" s="1" t="s">
        <v>21</v>
      </c>
      <c r="L49" s="1" t="s">
        <v>22</v>
      </c>
      <c r="M49" s="3">
        <v>113680</v>
      </c>
      <c r="N49" s="14">
        <f t="shared" si="6"/>
        <v>37893.333333333336</v>
      </c>
      <c r="O49" s="17">
        <f t="shared" ca="1" si="5"/>
        <v>46</v>
      </c>
    </row>
    <row r="50" spans="1:15">
      <c r="A50" s="1">
        <v>49</v>
      </c>
      <c r="B50" s="1" t="s">
        <v>164</v>
      </c>
      <c r="C50" s="1" t="s">
        <v>165</v>
      </c>
      <c r="D50" s="2">
        <v>33014</v>
      </c>
      <c r="E50" s="1" t="s">
        <v>166</v>
      </c>
      <c r="F50" s="1" t="s">
        <v>90</v>
      </c>
      <c r="G50" s="1" t="s">
        <v>19</v>
      </c>
      <c r="H50" s="1">
        <v>1</v>
      </c>
      <c r="I50" s="1" t="s">
        <v>45</v>
      </c>
      <c r="J50" s="2">
        <v>39602</v>
      </c>
      <c r="K50" s="1" t="s">
        <v>32</v>
      </c>
      <c r="L50" s="1" t="s">
        <v>33</v>
      </c>
      <c r="M50" s="3">
        <v>103240</v>
      </c>
      <c r="N50" s="18">
        <f t="shared" ref="N50:N52" si="8">M50 / (H50 + 2)</f>
        <v>34413.333333333336</v>
      </c>
      <c r="O50" s="17">
        <f t="shared" ca="1" si="5"/>
        <v>35</v>
      </c>
    </row>
    <row r="51" spans="1:15">
      <c r="A51" s="1">
        <v>50</v>
      </c>
      <c r="B51" s="1" t="s">
        <v>167</v>
      </c>
      <c r="C51" s="1" t="s">
        <v>154</v>
      </c>
      <c r="D51" s="2">
        <v>21524</v>
      </c>
      <c r="E51" s="1" t="s">
        <v>168</v>
      </c>
      <c r="F51" s="1" t="s">
        <v>31</v>
      </c>
      <c r="G51" s="1" t="s">
        <v>19</v>
      </c>
      <c r="H51" s="1">
        <v>3</v>
      </c>
      <c r="I51" s="1" t="s">
        <v>20</v>
      </c>
      <c r="J51" s="2">
        <v>39310</v>
      </c>
      <c r="K51" s="1" t="s">
        <v>68</v>
      </c>
      <c r="L51" s="1" t="s">
        <v>69</v>
      </c>
      <c r="M51" s="3">
        <v>66700</v>
      </c>
      <c r="N51" s="18">
        <f t="shared" si="8"/>
        <v>13340</v>
      </c>
      <c r="O51" s="17">
        <f t="shared" ca="1" si="5"/>
        <v>67</v>
      </c>
    </row>
    <row r="52" spans="1:15">
      <c r="A52" s="1">
        <v>51</v>
      </c>
      <c r="B52" s="1" t="s">
        <v>169</v>
      </c>
      <c r="C52" s="1" t="s">
        <v>170</v>
      </c>
      <c r="D52" s="2">
        <v>29468</v>
      </c>
      <c r="E52" s="1" t="s">
        <v>146</v>
      </c>
      <c r="F52" s="1" t="s">
        <v>90</v>
      </c>
      <c r="G52" s="1" t="s">
        <v>19</v>
      </c>
      <c r="H52" s="1">
        <v>0</v>
      </c>
      <c r="I52" s="1" t="s">
        <v>20</v>
      </c>
      <c r="J52" s="2">
        <v>40634</v>
      </c>
      <c r="K52" s="1" t="s">
        <v>21</v>
      </c>
      <c r="L52" s="1" t="s">
        <v>94</v>
      </c>
      <c r="M52" s="3">
        <v>86500</v>
      </c>
      <c r="N52" s="18">
        <f t="shared" si="8"/>
        <v>43250</v>
      </c>
      <c r="O52" s="17">
        <f t="shared" ca="1" si="5"/>
        <v>45</v>
      </c>
    </row>
    <row r="53" spans="1:15">
      <c r="A53" s="1">
        <v>52</v>
      </c>
      <c r="B53" s="1" t="s">
        <v>169</v>
      </c>
      <c r="C53" s="1" t="s">
        <v>171</v>
      </c>
      <c r="D53" s="2">
        <v>28385</v>
      </c>
      <c r="E53" s="1" t="s">
        <v>172</v>
      </c>
      <c r="F53" s="1" t="s">
        <v>40</v>
      </c>
      <c r="G53" s="1" t="s">
        <v>27</v>
      </c>
      <c r="H53" s="1">
        <v>2</v>
      </c>
      <c r="I53" s="1" t="s">
        <v>20</v>
      </c>
      <c r="J53" s="2">
        <v>40683</v>
      </c>
      <c r="K53" s="1" t="s">
        <v>46</v>
      </c>
      <c r="L53" s="1" t="s">
        <v>47</v>
      </c>
      <c r="M53" s="3">
        <v>83500</v>
      </c>
      <c r="N53" s="14">
        <f t="shared" si="6"/>
        <v>27833.333333333332</v>
      </c>
      <c r="O53" s="17">
        <f t="shared" ca="1" si="5"/>
        <v>48</v>
      </c>
    </row>
    <row r="54" spans="1:15">
      <c r="A54" s="1">
        <v>53</v>
      </c>
      <c r="B54" s="1" t="s">
        <v>173</v>
      </c>
      <c r="C54" s="1" t="s">
        <v>160</v>
      </c>
      <c r="D54" s="2">
        <v>29425</v>
      </c>
      <c r="E54" s="1" t="s">
        <v>150</v>
      </c>
      <c r="F54" s="1" t="s">
        <v>139</v>
      </c>
      <c r="G54" s="1" t="s">
        <v>19</v>
      </c>
      <c r="H54" s="1">
        <v>2</v>
      </c>
      <c r="I54" s="1" t="s">
        <v>45</v>
      </c>
      <c r="J54" s="2">
        <v>40105</v>
      </c>
      <c r="K54" s="1" t="s">
        <v>46</v>
      </c>
      <c r="L54" s="1" t="s">
        <v>174</v>
      </c>
      <c r="M54" s="3">
        <v>92650</v>
      </c>
      <c r="N54" s="18">
        <f t="shared" ref="N54:N63" si="9">M54 / (H54 + 2)</f>
        <v>23162.5</v>
      </c>
      <c r="O54" s="17">
        <f t="shared" ca="1" si="5"/>
        <v>45</v>
      </c>
    </row>
    <row r="55" spans="1:15">
      <c r="A55" s="1">
        <v>54</v>
      </c>
      <c r="B55" s="1" t="s">
        <v>175</v>
      </c>
      <c r="C55" s="1" t="s">
        <v>96</v>
      </c>
      <c r="D55" s="2">
        <v>36085</v>
      </c>
      <c r="E55" s="1" t="s">
        <v>176</v>
      </c>
      <c r="F55" s="1" t="s">
        <v>122</v>
      </c>
      <c r="G55" s="1" t="s">
        <v>19</v>
      </c>
      <c r="H55" s="1">
        <v>1</v>
      </c>
      <c r="I55" s="1" t="s">
        <v>37</v>
      </c>
      <c r="J55" s="2">
        <v>39599</v>
      </c>
      <c r="K55" s="1" t="s">
        <v>21</v>
      </c>
      <c r="L55" s="1" t="s">
        <v>94</v>
      </c>
      <c r="M55" s="3">
        <v>73000</v>
      </c>
      <c r="N55" s="18">
        <f t="shared" si="9"/>
        <v>24333.333333333332</v>
      </c>
      <c r="O55" s="17">
        <f t="shared" ca="1" si="5"/>
        <v>27</v>
      </c>
    </row>
    <row r="56" spans="1:15">
      <c r="A56" s="1">
        <v>55</v>
      </c>
      <c r="B56" s="1" t="s">
        <v>177</v>
      </c>
      <c r="C56" s="1" t="s">
        <v>101</v>
      </c>
      <c r="D56" s="2">
        <v>27255</v>
      </c>
      <c r="E56" s="1" t="s">
        <v>178</v>
      </c>
      <c r="F56" s="1" t="s">
        <v>18</v>
      </c>
      <c r="G56" s="1" t="s">
        <v>19</v>
      </c>
      <c r="H56" s="1">
        <v>2</v>
      </c>
      <c r="I56" s="1" t="s">
        <v>59</v>
      </c>
      <c r="J56" s="2">
        <v>39399</v>
      </c>
      <c r="K56" s="1" t="s">
        <v>32</v>
      </c>
      <c r="L56" s="1" t="s">
        <v>55</v>
      </c>
      <c r="M56" s="3">
        <v>75400</v>
      </c>
      <c r="N56" s="18">
        <f t="shared" si="9"/>
        <v>18850</v>
      </c>
      <c r="O56" s="17">
        <f t="shared" ca="1" si="5"/>
        <v>51</v>
      </c>
    </row>
    <row r="57" spans="1:15">
      <c r="A57" s="1">
        <v>56</v>
      </c>
      <c r="B57" s="1" t="s">
        <v>177</v>
      </c>
      <c r="C57" s="1" t="s">
        <v>101</v>
      </c>
      <c r="D57" s="2">
        <v>26903</v>
      </c>
      <c r="E57" s="1" t="s">
        <v>176</v>
      </c>
      <c r="F57" s="1" t="s">
        <v>18</v>
      </c>
      <c r="G57" s="1" t="s">
        <v>19</v>
      </c>
      <c r="H57" s="1">
        <v>3</v>
      </c>
      <c r="I57" s="1" t="s">
        <v>37</v>
      </c>
      <c r="J57" s="2">
        <v>39587</v>
      </c>
      <c r="K57" s="1" t="s">
        <v>32</v>
      </c>
      <c r="L57" s="1" t="s">
        <v>38</v>
      </c>
      <c r="M57" s="3">
        <v>186556</v>
      </c>
      <c r="N57" s="18">
        <f t="shared" si="9"/>
        <v>37311.199999999997</v>
      </c>
      <c r="O57" s="17">
        <f t="shared" ca="1" si="5"/>
        <v>52</v>
      </c>
    </row>
    <row r="58" spans="1:15">
      <c r="A58" s="1">
        <v>57</v>
      </c>
      <c r="B58" s="1" t="s">
        <v>179</v>
      </c>
      <c r="C58" s="1" t="s">
        <v>180</v>
      </c>
      <c r="D58" s="2">
        <v>26623</v>
      </c>
      <c r="E58" s="1" t="s">
        <v>181</v>
      </c>
      <c r="F58" s="1" t="s">
        <v>54</v>
      </c>
      <c r="G58" s="1" t="s">
        <v>19</v>
      </c>
      <c r="H58" s="1">
        <v>2</v>
      </c>
      <c r="I58" s="1" t="s">
        <v>45</v>
      </c>
      <c r="J58" s="2">
        <v>40050</v>
      </c>
      <c r="K58" s="1" t="s">
        <v>32</v>
      </c>
      <c r="L58" s="1" t="s">
        <v>33</v>
      </c>
      <c r="M58" s="3">
        <v>94720</v>
      </c>
      <c r="N58" s="18">
        <f t="shared" si="9"/>
        <v>23680</v>
      </c>
      <c r="O58" s="17">
        <f t="shared" ca="1" si="5"/>
        <v>53</v>
      </c>
    </row>
    <row r="59" spans="1:15">
      <c r="A59" s="1">
        <v>58</v>
      </c>
      <c r="B59" s="1" t="s">
        <v>182</v>
      </c>
      <c r="C59" s="1" t="s">
        <v>183</v>
      </c>
      <c r="D59" s="2">
        <v>34857</v>
      </c>
      <c r="E59" s="1" t="s">
        <v>86</v>
      </c>
      <c r="F59" s="1" t="s">
        <v>18</v>
      </c>
      <c r="G59" s="1" t="s">
        <v>19</v>
      </c>
      <c r="H59" s="1">
        <v>1</v>
      </c>
      <c r="I59" s="1" t="s">
        <v>45</v>
      </c>
      <c r="J59" s="2">
        <v>39813</v>
      </c>
      <c r="K59" s="1" t="s">
        <v>68</v>
      </c>
      <c r="L59" s="1" t="s">
        <v>69</v>
      </c>
      <c r="M59" s="3">
        <v>154780</v>
      </c>
      <c r="N59" s="18">
        <f t="shared" si="9"/>
        <v>51593.333333333336</v>
      </c>
      <c r="O59" s="17">
        <f t="shared" ca="1" si="5"/>
        <v>30</v>
      </c>
    </row>
    <row r="60" spans="1:15">
      <c r="A60" s="1">
        <v>59</v>
      </c>
      <c r="B60" s="1" t="s">
        <v>184</v>
      </c>
      <c r="C60" s="1" t="s">
        <v>24</v>
      </c>
      <c r="D60" s="2">
        <v>28713</v>
      </c>
      <c r="E60" s="1" t="s">
        <v>185</v>
      </c>
      <c r="F60" s="1" t="s">
        <v>54</v>
      </c>
      <c r="G60" s="1" t="s">
        <v>19</v>
      </c>
      <c r="H60" s="1">
        <v>3</v>
      </c>
      <c r="I60" s="1" t="s">
        <v>37</v>
      </c>
      <c r="J60" s="2">
        <v>39890</v>
      </c>
      <c r="K60" s="1" t="s">
        <v>32</v>
      </c>
      <c r="L60" s="1" t="s">
        <v>33</v>
      </c>
      <c r="M60" s="3">
        <v>83074</v>
      </c>
      <c r="N60" s="18">
        <f t="shared" si="9"/>
        <v>16614.8</v>
      </c>
      <c r="O60" s="17">
        <f t="shared" ca="1" si="5"/>
        <v>47</v>
      </c>
    </row>
    <row r="61" spans="1:15">
      <c r="A61" s="1">
        <v>60</v>
      </c>
      <c r="B61" s="1" t="s">
        <v>186</v>
      </c>
      <c r="C61" s="1" t="s">
        <v>187</v>
      </c>
      <c r="D61" s="2">
        <v>36085</v>
      </c>
      <c r="E61" s="1" t="s">
        <v>35</v>
      </c>
      <c r="F61" s="1" t="s">
        <v>54</v>
      </c>
      <c r="G61" s="1" t="s">
        <v>19</v>
      </c>
      <c r="H61" s="1">
        <v>3</v>
      </c>
      <c r="I61" s="1" t="s">
        <v>45</v>
      </c>
      <c r="J61" s="2">
        <v>39575</v>
      </c>
      <c r="K61" s="1" t="s">
        <v>32</v>
      </c>
      <c r="L61" s="1" t="s">
        <v>55</v>
      </c>
      <c r="M61" s="3">
        <v>63130</v>
      </c>
      <c r="N61" s="18">
        <f t="shared" si="9"/>
        <v>12626</v>
      </c>
      <c r="O61" s="17">
        <f t="shared" ca="1" si="5"/>
        <v>27</v>
      </c>
    </row>
    <row r="62" spans="1:15">
      <c r="A62" s="1">
        <v>61</v>
      </c>
      <c r="B62" s="1" t="s">
        <v>188</v>
      </c>
      <c r="C62" s="1" t="s">
        <v>66</v>
      </c>
      <c r="D62" s="2">
        <v>27841</v>
      </c>
      <c r="E62" s="1" t="s">
        <v>25</v>
      </c>
      <c r="F62" s="1" t="s">
        <v>54</v>
      </c>
      <c r="G62" s="1" t="s">
        <v>19</v>
      </c>
      <c r="H62" s="1">
        <v>3</v>
      </c>
      <c r="I62" s="1" t="s">
        <v>59</v>
      </c>
      <c r="J62" s="2">
        <v>39321</v>
      </c>
      <c r="K62" s="1" t="s">
        <v>32</v>
      </c>
      <c r="L62" s="1" t="s">
        <v>33</v>
      </c>
      <c r="M62" s="3">
        <v>94729</v>
      </c>
      <c r="N62" s="18">
        <f t="shared" si="9"/>
        <v>18945.8</v>
      </c>
      <c r="O62" s="17">
        <f t="shared" ca="1" si="5"/>
        <v>49</v>
      </c>
    </row>
    <row r="63" spans="1:15">
      <c r="A63" s="1">
        <v>62</v>
      </c>
      <c r="B63" s="1" t="s">
        <v>189</v>
      </c>
      <c r="C63" s="1" t="s">
        <v>80</v>
      </c>
      <c r="D63" s="2">
        <v>21104</v>
      </c>
      <c r="E63" s="1" t="s">
        <v>30</v>
      </c>
      <c r="F63" s="1" t="s">
        <v>139</v>
      </c>
      <c r="G63" s="1" t="s">
        <v>19</v>
      </c>
      <c r="H63" s="1">
        <v>3</v>
      </c>
      <c r="I63" s="1" t="s">
        <v>20</v>
      </c>
      <c r="J63" s="2">
        <v>39701</v>
      </c>
      <c r="K63" s="1" t="s">
        <v>46</v>
      </c>
      <c r="L63" s="1" t="s">
        <v>47</v>
      </c>
      <c r="M63" s="3">
        <v>97690</v>
      </c>
      <c r="N63" s="18">
        <f t="shared" si="9"/>
        <v>19538</v>
      </c>
      <c r="O63" s="17">
        <f t="shared" ca="1" si="5"/>
        <v>68</v>
      </c>
    </row>
    <row r="64" spans="1:15">
      <c r="A64" s="1">
        <v>63</v>
      </c>
      <c r="B64" s="1" t="s">
        <v>190</v>
      </c>
      <c r="C64" s="1" t="s">
        <v>191</v>
      </c>
      <c r="D64" s="2">
        <v>34169</v>
      </c>
      <c r="E64" s="1" t="s">
        <v>192</v>
      </c>
      <c r="F64" s="1" t="s">
        <v>54</v>
      </c>
      <c r="G64" s="1" t="s">
        <v>27</v>
      </c>
      <c r="H64" s="1">
        <v>1</v>
      </c>
      <c r="I64" s="1" t="s">
        <v>37</v>
      </c>
      <c r="J64" s="2">
        <v>39685</v>
      </c>
      <c r="K64" s="1" t="s">
        <v>21</v>
      </c>
      <c r="L64" s="1" t="s">
        <v>22</v>
      </c>
      <c r="M64" s="3">
        <v>51940</v>
      </c>
      <c r="N64" s="14">
        <f t="shared" si="6"/>
        <v>25970</v>
      </c>
      <c r="O64" s="17">
        <f t="shared" ca="1" si="5"/>
        <v>32</v>
      </c>
    </row>
    <row r="65" spans="1:15">
      <c r="A65" s="1">
        <v>64</v>
      </c>
      <c r="B65" s="1" t="s">
        <v>193</v>
      </c>
      <c r="C65" s="1" t="s">
        <v>194</v>
      </c>
      <c r="D65" s="2">
        <v>35933</v>
      </c>
      <c r="E65" s="1" t="s">
        <v>195</v>
      </c>
      <c r="F65" s="1" t="s">
        <v>90</v>
      </c>
      <c r="G65" s="1" t="s">
        <v>19</v>
      </c>
      <c r="H65" s="1">
        <v>3</v>
      </c>
      <c r="I65" s="1" t="s">
        <v>20</v>
      </c>
      <c r="J65" s="2">
        <v>39247</v>
      </c>
      <c r="K65" s="1" t="s">
        <v>32</v>
      </c>
      <c r="L65" s="1" t="s">
        <v>33</v>
      </c>
      <c r="M65" s="3">
        <v>56995</v>
      </c>
      <c r="N65" s="18">
        <f t="shared" ref="N65:N76" si="10">M65 / (H65 + 2)</f>
        <v>11399</v>
      </c>
      <c r="O65" s="17">
        <f t="shared" ca="1" si="5"/>
        <v>27</v>
      </c>
    </row>
    <row r="66" spans="1:15">
      <c r="A66" s="1">
        <v>65</v>
      </c>
      <c r="B66" s="1" t="s">
        <v>196</v>
      </c>
      <c r="C66" s="1" t="s">
        <v>101</v>
      </c>
      <c r="D66" s="2">
        <v>26898</v>
      </c>
      <c r="E66" s="1" t="s">
        <v>25</v>
      </c>
      <c r="F66" s="1" t="s">
        <v>18</v>
      </c>
      <c r="G66" s="1" t="s">
        <v>19</v>
      </c>
      <c r="H66" s="1">
        <v>5</v>
      </c>
      <c r="I66" s="1" t="s">
        <v>81</v>
      </c>
      <c r="J66" s="2">
        <v>38795</v>
      </c>
      <c r="K66" s="1" t="s">
        <v>32</v>
      </c>
      <c r="L66" s="1" t="s">
        <v>55</v>
      </c>
      <c r="M66" s="3">
        <v>62920</v>
      </c>
      <c r="N66" s="18">
        <f t="shared" si="10"/>
        <v>8988.5714285714294</v>
      </c>
      <c r="O66" s="17">
        <f t="shared" ref="O66:O97" ca="1" si="11">DATEDIF(D66,TODAY(),"Y")</f>
        <v>52</v>
      </c>
    </row>
    <row r="67" spans="1:15">
      <c r="A67" s="1">
        <v>66</v>
      </c>
      <c r="B67" s="1" t="s">
        <v>197</v>
      </c>
      <c r="C67" s="1" t="s">
        <v>198</v>
      </c>
      <c r="D67" s="2">
        <v>28884</v>
      </c>
      <c r="E67" s="1" t="s">
        <v>199</v>
      </c>
      <c r="F67" s="1" t="s">
        <v>18</v>
      </c>
      <c r="G67" s="1" t="s">
        <v>19</v>
      </c>
      <c r="H67" s="1">
        <v>3</v>
      </c>
      <c r="I67" s="1" t="s">
        <v>59</v>
      </c>
      <c r="J67" s="2">
        <v>39532</v>
      </c>
      <c r="K67" s="1" t="s">
        <v>21</v>
      </c>
      <c r="L67" s="1" t="s">
        <v>22</v>
      </c>
      <c r="M67" s="3">
        <v>124822</v>
      </c>
      <c r="N67" s="18">
        <f t="shared" si="10"/>
        <v>24964.400000000001</v>
      </c>
      <c r="O67" s="17">
        <f t="shared" ca="1" si="11"/>
        <v>47</v>
      </c>
    </row>
    <row r="68" spans="1:15">
      <c r="A68" s="1">
        <v>67</v>
      </c>
      <c r="B68" s="1" t="s">
        <v>200</v>
      </c>
      <c r="C68" s="1" t="s">
        <v>201</v>
      </c>
      <c r="D68" s="2">
        <v>27626</v>
      </c>
      <c r="E68" s="1" t="s">
        <v>26</v>
      </c>
      <c r="F68" s="1" t="s">
        <v>40</v>
      </c>
      <c r="G68" s="1" t="s">
        <v>19</v>
      </c>
      <c r="H68" s="1">
        <v>3</v>
      </c>
      <c r="I68" s="1" t="s">
        <v>81</v>
      </c>
      <c r="J68" s="2">
        <v>41533</v>
      </c>
      <c r="K68" s="1" t="s">
        <v>32</v>
      </c>
      <c r="L68" s="1" t="s">
        <v>33</v>
      </c>
      <c r="M68" s="3">
        <v>62920</v>
      </c>
      <c r="N68" s="18">
        <f t="shared" si="10"/>
        <v>12584</v>
      </c>
      <c r="O68" s="17">
        <f t="shared" ca="1" si="11"/>
        <v>50</v>
      </c>
    </row>
    <row r="69" spans="1:15">
      <c r="A69" s="1">
        <v>68</v>
      </c>
      <c r="B69" s="1" t="s">
        <v>202</v>
      </c>
      <c r="C69" s="1" t="s">
        <v>160</v>
      </c>
      <c r="D69" s="2">
        <v>28289</v>
      </c>
      <c r="E69" s="1" t="s">
        <v>203</v>
      </c>
      <c r="F69" s="1" t="s">
        <v>18</v>
      </c>
      <c r="G69" s="1" t="s">
        <v>19</v>
      </c>
      <c r="H69" s="1">
        <v>1</v>
      </c>
      <c r="I69" s="1" t="s">
        <v>45</v>
      </c>
      <c r="J69" s="2">
        <v>39510</v>
      </c>
      <c r="K69" s="1" t="s">
        <v>149</v>
      </c>
      <c r="L69" s="1" t="s">
        <v>22</v>
      </c>
      <c r="M69" s="3">
        <v>148864</v>
      </c>
      <c r="N69" s="18">
        <f t="shared" si="10"/>
        <v>49621.333333333336</v>
      </c>
      <c r="O69" s="17">
        <f t="shared" ca="1" si="11"/>
        <v>48</v>
      </c>
    </row>
    <row r="70" spans="1:15">
      <c r="A70" s="1">
        <v>69</v>
      </c>
      <c r="B70" s="1" t="s">
        <v>202</v>
      </c>
      <c r="C70" s="1" t="s">
        <v>204</v>
      </c>
      <c r="D70" s="2">
        <v>35612</v>
      </c>
      <c r="E70" s="1" t="s">
        <v>205</v>
      </c>
      <c r="F70" s="1" t="s">
        <v>139</v>
      </c>
      <c r="G70" s="1" t="s">
        <v>19</v>
      </c>
      <c r="H70" s="1">
        <v>3</v>
      </c>
      <c r="I70" s="1" t="s">
        <v>20</v>
      </c>
      <c r="J70" s="2">
        <v>39737</v>
      </c>
      <c r="K70" s="1" t="s">
        <v>46</v>
      </c>
      <c r="L70" s="1" t="s">
        <v>47</v>
      </c>
      <c r="M70" s="3">
        <v>76018</v>
      </c>
      <c r="N70" s="18">
        <f t="shared" si="10"/>
        <v>15203.6</v>
      </c>
      <c r="O70" s="17">
        <f t="shared" ca="1" si="11"/>
        <v>28</v>
      </c>
    </row>
    <row r="71" spans="1:15">
      <c r="A71" s="1">
        <v>70</v>
      </c>
      <c r="B71" s="1" t="s">
        <v>206</v>
      </c>
      <c r="C71" s="1" t="s">
        <v>207</v>
      </c>
      <c r="D71" s="2">
        <v>29639</v>
      </c>
      <c r="E71" s="1" t="s">
        <v>208</v>
      </c>
      <c r="F71" s="1" t="s">
        <v>40</v>
      </c>
      <c r="G71" s="1" t="s">
        <v>19</v>
      </c>
      <c r="H71" s="1">
        <v>1</v>
      </c>
      <c r="I71" s="1" t="s">
        <v>20</v>
      </c>
      <c r="J71" s="2">
        <v>41577</v>
      </c>
      <c r="K71" s="1" t="s">
        <v>32</v>
      </c>
      <c r="L71" s="1" t="s">
        <v>33</v>
      </c>
      <c r="M71" s="3">
        <v>120250</v>
      </c>
      <c r="N71" s="18">
        <f t="shared" si="10"/>
        <v>40083.333333333336</v>
      </c>
      <c r="O71" s="17">
        <f t="shared" ca="1" si="11"/>
        <v>44</v>
      </c>
    </row>
    <row r="72" spans="1:15">
      <c r="A72" s="1">
        <v>71</v>
      </c>
      <c r="B72" s="1" t="s">
        <v>209</v>
      </c>
      <c r="C72" s="1" t="s">
        <v>24</v>
      </c>
      <c r="D72" s="2">
        <v>30036</v>
      </c>
      <c r="E72" s="1" t="s">
        <v>163</v>
      </c>
      <c r="F72" s="1" t="s">
        <v>122</v>
      </c>
      <c r="G72" s="1" t="s">
        <v>19</v>
      </c>
      <c r="H72" s="1">
        <v>0</v>
      </c>
      <c r="I72" s="1" t="s">
        <v>20</v>
      </c>
      <c r="J72" s="2">
        <v>39452</v>
      </c>
      <c r="K72" s="1" t="s">
        <v>21</v>
      </c>
      <c r="L72" s="1" t="s">
        <v>94</v>
      </c>
      <c r="M72" s="3">
        <v>86500</v>
      </c>
      <c r="N72" s="18">
        <f t="shared" si="10"/>
        <v>43250</v>
      </c>
      <c r="O72" s="17">
        <f t="shared" ca="1" si="11"/>
        <v>43</v>
      </c>
    </row>
    <row r="73" spans="1:15">
      <c r="A73" s="1">
        <v>72</v>
      </c>
      <c r="B73" s="1" t="s">
        <v>210</v>
      </c>
      <c r="C73" s="1" t="s">
        <v>24</v>
      </c>
      <c r="D73" s="2">
        <v>27904</v>
      </c>
      <c r="E73" s="1" t="s">
        <v>25</v>
      </c>
      <c r="F73" s="1" t="s">
        <v>54</v>
      </c>
      <c r="G73" s="1" t="s">
        <v>19</v>
      </c>
      <c r="H73" s="1">
        <v>1</v>
      </c>
      <c r="I73" s="1" t="s">
        <v>20</v>
      </c>
      <c r="J73" s="2">
        <v>39826</v>
      </c>
      <c r="K73" s="1" t="s">
        <v>32</v>
      </c>
      <c r="L73" s="1" t="s">
        <v>33</v>
      </c>
      <c r="M73" s="3">
        <v>108976</v>
      </c>
      <c r="N73" s="18">
        <f t="shared" si="10"/>
        <v>36325.333333333336</v>
      </c>
      <c r="O73" s="17">
        <f t="shared" ca="1" si="11"/>
        <v>49</v>
      </c>
    </row>
    <row r="74" spans="1:15">
      <c r="A74" s="1">
        <v>73</v>
      </c>
      <c r="B74" s="1" t="s">
        <v>211</v>
      </c>
      <c r="C74" s="1" t="s">
        <v>144</v>
      </c>
      <c r="D74" s="2">
        <v>27068</v>
      </c>
      <c r="E74" s="1" t="s">
        <v>40</v>
      </c>
      <c r="F74" s="1" t="s">
        <v>40</v>
      </c>
      <c r="G74" s="1" t="s">
        <v>19</v>
      </c>
      <c r="H74" s="1">
        <v>0</v>
      </c>
      <c r="I74" s="1" t="s">
        <v>20</v>
      </c>
      <c r="J74" s="2">
        <v>41238</v>
      </c>
      <c r="K74" s="1" t="s">
        <v>46</v>
      </c>
      <c r="L74" s="1" t="s">
        <v>174</v>
      </c>
      <c r="M74" s="3">
        <v>88726</v>
      </c>
      <c r="N74" s="18">
        <f t="shared" si="10"/>
        <v>44363</v>
      </c>
      <c r="O74" s="17">
        <f t="shared" ca="1" si="11"/>
        <v>51</v>
      </c>
    </row>
    <row r="75" spans="1:15">
      <c r="A75" s="1">
        <v>74</v>
      </c>
      <c r="B75" s="1" t="s">
        <v>212</v>
      </c>
      <c r="C75" s="1" t="s">
        <v>63</v>
      </c>
      <c r="D75" s="2">
        <v>27137</v>
      </c>
      <c r="E75" s="1" t="s">
        <v>213</v>
      </c>
      <c r="F75" s="1" t="s">
        <v>122</v>
      </c>
      <c r="G75" s="1" t="s">
        <v>19</v>
      </c>
      <c r="H75" s="1">
        <v>1</v>
      </c>
      <c r="I75" s="1" t="s">
        <v>37</v>
      </c>
      <c r="J75" s="2">
        <v>39432</v>
      </c>
      <c r="K75" s="1" t="s">
        <v>87</v>
      </c>
      <c r="L75" s="1" t="s">
        <v>88</v>
      </c>
      <c r="M75" s="3">
        <v>120100</v>
      </c>
      <c r="N75" s="18">
        <f t="shared" si="10"/>
        <v>40033.333333333336</v>
      </c>
      <c r="O75" s="17">
        <f t="shared" ca="1" si="11"/>
        <v>51</v>
      </c>
    </row>
    <row r="76" spans="1:15">
      <c r="A76" s="1">
        <v>75</v>
      </c>
      <c r="B76" s="1" t="s">
        <v>214</v>
      </c>
      <c r="C76" s="1" t="s">
        <v>198</v>
      </c>
      <c r="D76" s="2">
        <v>26822</v>
      </c>
      <c r="E76" s="1" t="s">
        <v>58</v>
      </c>
      <c r="F76" s="1" t="s">
        <v>139</v>
      </c>
      <c r="G76" s="1" t="s">
        <v>19</v>
      </c>
      <c r="H76" s="1">
        <v>1</v>
      </c>
      <c r="I76" s="1" t="s">
        <v>20</v>
      </c>
      <c r="J76" s="2">
        <v>39736</v>
      </c>
      <c r="K76" s="1" t="s">
        <v>46</v>
      </c>
      <c r="L76" s="1" t="s">
        <v>47</v>
      </c>
      <c r="M76" s="3">
        <v>116440</v>
      </c>
      <c r="N76" s="18">
        <f t="shared" si="10"/>
        <v>38813.333333333336</v>
      </c>
      <c r="O76" s="17">
        <f t="shared" ca="1" si="11"/>
        <v>52</v>
      </c>
    </row>
    <row r="77" spans="1:15">
      <c r="A77" s="1">
        <v>76</v>
      </c>
      <c r="B77" s="1" t="s">
        <v>215</v>
      </c>
      <c r="C77" s="1" t="s">
        <v>110</v>
      </c>
      <c r="D77" s="2">
        <v>28590</v>
      </c>
      <c r="E77" s="1" t="s">
        <v>25</v>
      </c>
      <c r="F77" s="1" t="s">
        <v>26</v>
      </c>
      <c r="G77" s="1" t="s">
        <v>27</v>
      </c>
      <c r="H77" s="1">
        <v>2</v>
      </c>
      <c r="I77" s="1" t="s">
        <v>81</v>
      </c>
      <c r="J77" s="2">
        <v>39464</v>
      </c>
      <c r="K77" s="1" t="s">
        <v>21</v>
      </c>
      <c r="L77" s="1" t="s">
        <v>22</v>
      </c>
      <c r="M77" s="3">
        <v>70726</v>
      </c>
      <c r="N77" s="14">
        <f t="shared" ref="N66:N97" si="12">M77 / (H77 + 1)</f>
        <v>23575.333333333332</v>
      </c>
      <c r="O77" s="17">
        <f t="shared" ca="1" si="11"/>
        <v>47</v>
      </c>
    </row>
    <row r="78" spans="1:15">
      <c r="A78" s="1">
        <v>77</v>
      </c>
      <c r="B78" s="1" t="s">
        <v>216</v>
      </c>
      <c r="C78" s="1" t="s">
        <v>217</v>
      </c>
      <c r="D78" s="2">
        <v>28698</v>
      </c>
      <c r="E78" s="1" t="s">
        <v>218</v>
      </c>
      <c r="F78" s="1" t="s">
        <v>40</v>
      </c>
      <c r="G78" s="1" t="s">
        <v>19</v>
      </c>
      <c r="H78" s="1">
        <v>3</v>
      </c>
      <c r="I78" s="1" t="s">
        <v>20</v>
      </c>
      <c r="J78" s="2">
        <v>41803</v>
      </c>
      <c r="K78" s="1" t="s">
        <v>46</v>
      </c>
      <c r="L78" s="1" t="s">
        <v>47</v>
      </c>
      <c r="M78" s="3">
        <v>76018</v>
      </c>
      <c r="N78" s="18">
        <f t="shared" ref="N78:N87" si="13">M78 / (H78 + 2)</f>
        <v>15203.6</v>
      </c>
      <c r="O78" s="17">
        <f t="shared" ca="1" si="11"/>
        <v>47</v>
      </c>
    </row>
    <row r="79" spans="1:15">
      <c r="A79" s="1">
        <v>78</v>
      </c>
      <c r="B79" s="1" t="s">
        <v>216</v>
      </c>
      <c r="C79" s="1" t="s">
        <v>170</v>
      </c>
      <c r="D79" s="2">
        <v>29042</v>
      </c>
      <c r="E79" s="1" t="s">
        <v>35</v>
      </c>
      <c r="F79" s="1" t="s">
        <v>36</v>
      </c>
      <c r="G79" s="1" t="s">
        <v>19</v>
      </c>
      <c r="H79" s="1">
        <v>1</v>
      </c>
      <c r="I79" s="1" t="s">
        <v>219</v>
      </c>
      <c r="J79" s="2">
        <v>41873</v>
      </c>
      <c r="K79" s="1" t="s">
        <v>21</v>
      </c>
      <c r="L79" s="1" t="s">
        <v>22</v>
      </c>
      <c r="M79" s="3">
        <v>66760</v>
      </c>
      <c r="N79" s="18">
        <f t="shared" si="13"/>
        <v>22253.333333333332</v>
      </c>
      <c r="O79" s="17">
        <f t="shared" ca="1" si="11"/>
        <v>46</v>
      </c>
    </row>
    <row r="80" spans="1:15">
      <c r="A80" s="1">
        <v>79</v>
      </c>
      <c r="B80" s="1" t="s">
        <v>220</v>
      </c>
      <c r="C80" s="1" t="s">
        <v>221</v>
      </c>
      <c r="D80" s="2">
        <v>36058</v>
      </c>
      <c r="E80" s="1" t="s">
        <v>26</v>
      </c>
      <c r="F80" s="1" t="s">
        <v>40</v>
      </c>
      <c r="G80" s="1" t="s">
        <v>19</v>
      </c>
      <c r="H80" s="1">
        <v>1</v>
      </c>
      <c r="I80" s="1" t="s">
        <v>20</v>
      </c>
      <c r="J80" s="2">
        <v>39769</v>
      </c>
      <c r="K80" s="1" t="s">
        <v>46</v>
      </c>
      <c r="L80" s="1" t="s">
        <v>47</v>
      </c>
      <c r="M80" s="3">
        <v>116440</v>
      </c>
      <c r="N80" s="18">
        <f t="shared" si="13"/>
        <v>38813.333333333336</v>
      </c>
      <c r="O80" s="17">
        <f t="shared" ca="1" si="11"/>
        <v>27</v>
      </c>
    </row>
    <row r="81" spans="1:15">
      <c r="A81" s="1">
        <v>80</v>
      </c>
      <c r="B81" s="1" t="s">
        <v>222</v>
      </c>
      <c r="C81" s="1" t="s">
        <v>73</v>
      </c>
      <c r="D81" s="2">
        <v>26289</v>
      </c>
      <c r="E81" s="1" t="s">
        <v>223</v>
      </c>
      <c r="F81" s="1" t="s">
        <v>36</v>
      </c>
      <c r="G81" s="1" t="s">
        <v>19</v>
      </c>
      <c r="H81" s="1">
        <v>1</v>
      </c>
      <c r="I81" s="1" t="s">
        <v>37</v>
      </c>
      <c r="J81" s="2">
        <v>41427</v>
      </c>
      <c r="K81" s="1" t="s">
        <v>21</v>
      </c>
      <c r="L81" s="1" t="s">
        <v>22</v>
      </c>
      <c r="M81" s="3">
        <v>53254</v>
      </c>
      <c r="N81" s="18">
        <f t="shared" si="13"/>
        <v>17751.333333333332</v>
      </c>
      <c r="O81" s="17">
        <f t="shared" ca="1" si="11"/>
        <v>54</v>
      </c>
    </row>
    <row r="82" spans="1:15">
      <c r="A82" s="1">
        <v>81</v>
      </c>
      <c r="B82" s="1" t="s">
        <v>224</v>
      </c>
      <c r="C82" s="1" t="s">
        <v>225</v>
      </c>
      <c r="D82" s="2">
        <v>32157</v>
      </c>
      <c r="E82" s="1" t="s">
        <v>150</v>
      </c>
      <c r="F82" s="1" t="s">
        <v>18</v>
      </c>
      <c r="G82" s="1" t="s">
        <v>19</v>
      </c>
      <c r="H82" s="1">
        <v>1</v>
      </c>
      <c r="I82" s="1" t="s">
        <v>45</v>
      </c>
      <c r="J82" s="2">
        <v>38814</v>
      </c>
      <c r="K82" s="1" t="s">
        <v>32</v>
      </c>
      <c r="L82" s="1" t="s">
        <v>78</v>
      </c>
      <c r="M82" s="3">
        <v>154780</v>
      </c>
      <c r="N82" s="18">
        <f t="shared" si="13"/>
        <v>51593.333333333336</v>
      </c>
      <c r="O82" s="17">
        <f t="shared" ca="1" si="11"/>
        <v>38</v>
      </c>
    </row>
    <row r="83" spans="1:15">
      <c r="A83" s="1">
        <v>82</v>
      </c>
      <c r="B83" s="1" t="s">
        <v>226</v>
      </c>
      <c r="C83" s="1" t="s">
        <v>144</v>
      </c>
      <c r="D83" s="2">
        <v>29285</v>
      </c>
      <c r="E83" s="1" t="s">
        <v>227</v>
      </c>
      <c r="F83" s="1" t="s">
        <v>54</v>
      </c>
      <c r="G83" s="1" t="s">
        <v>19</v>
      </c>
      <c r="H83" s="1">
        <v>1</v>
      </c>
      <c r="I83" s="1" t="s">
        <v>81</v>
      </c>
      <c r="J83" s="2">
        <v>39788</v>
      </c>
      <c r="K83" s="1" t="s">
        <v>32</v>
      </c>
      <c r="L83" s="1" t="s">
        <v>33</v>
      </c>
      <c r="M83" s="3">
        <v>73900</v>
      </c>
      <c r="N83" s="18">
        <f t="shared" si="13"/>
        <v>24633.333333333332</v>
      </c>
      <c r="O83" s="17">
        <f t="shared" ca="1" si="11"/>
        <v>45</v>
      </c>
    </row>
    <row r="84" spans="1:15">
      <c r="A84" s="1">
        <v>83</v>
      </c>
      <c r="B84" s="1" t="s">
        <v>228</v>
      </c>
      <c r="C84" s="1" t="s">
        <v>229</v>
      </c>
      <c r="D84" s="2">
        <v>38406</v>
      </c>
      <c r="E84" s="1" t="s">
        <v>230</v>
      </c>
      <c r="F84" s="1" t="s">
        <v>122</v>
      </c>
      <c r="G84" s="1" t="s">
        <v>19</v>
      </c>
      <c r="H84" s="1">
        <v>1</v>
      </c>
      <c r="I84" s="1" t="s">
        <v>37</v>
      </c>
      <c r="J84" s="2">
        <v>39657</v>
      </c>
      <c r="K84" s="1" t="s">
        <v>87</v>
      </c>
      <c r="L84" s="1" t="s">
        <v>88</v>
      </c>
      <c r="M84" s="3">
        <v>120100</v>
      </c>
      <c r="N84" s="18">
        <f t="shared" si="13"/>
        <v>40033.333333333336</v>
      </c>
      <c r="O84" s="17">
        <f t="shared" ca="1" si="11"/>
        <v>20</v>
      </c>
    </row>
    <row r="85" spans="1:15">
      <c r="A85" s="1">
        <v>84</v>
      </c>
      <c r="B85" s="1" t="s">
        <v>228</v>
      </c>
      <c r="C85" s="1" t="s">
        <v>144</v>
      </c>
      <c r="D85" s="2">
        <v>30712</v>
      </c>
      <c r="E85" s="1" t="s">
        <v>231</v>
      </c>
      <c r="F85" s="1" t="s">
        <v>40</v>
      </c>
      <c r="G85" s="1" t="s">
        <v>19</v>
      </c>
      <c r="H85" s="1">
        <v>2</v>
      </c>
      <c r="I85" s="1" t="s">
        <v>59</v>
      </c>
      <c r="J85" s="2">
        <v>40033</v>
      </c>
      <c r="K85" s="1" t="s">
        <v>32</v>
      </c>
      <c r="L85" s="1" t="s">
        <v>33</v>
      </c>
      <c r="M85" s="3">
        <v>75400</v>
      </c>
      <c r="N85" s="18">
        <f t="shared" si="13"/>
        <v>18850</v>
      </c>
      <c r="O85" s="17">
        <f t="shared" ca="1" si="11"/>
        <v>42</v>
      </c>
    </row>
    <row r="86" spans="1:15">
      <c r="A86" s="1">
        <v>85</v>
      </c>
      <c r="B86" s="1" t="s">
        <v>228</v>
      </c>
      <c r="C86" s="1" t="s">
        <v>61</v>
      </c>
      <c r="D86" s="2">
        <v>33253</v>
      </c>
      <c r="E86" s="1" t="s">
        <v>232</v>
      </c>
      <c r="F86" s="1" t="s">
        <v>54</v>
      </c>
      <c r="G86" s="1" t="s">
        <v>19</v>
      </c>
      <c r="H86" s="1">
        <v>6</v>
      </c>
      <c r="I86" s="1" t="s">
        <v>37</v>
      </c>
      <c r="J86" s="2">
        <v>40662</v>
      </c>
      <c r="K86" s="1" t="s">
        <v>32</v>
      </c>
      <c r="L86" s="1" t="s">
        <v>55</v>
      </c>
      <c r="M86" s="3">
        <v>76120</v>
      </c>
      <c r="N86" s="18">
        <f t="shared" si="13"/>
        <v>9515</v>
      </c>
      <c r="O86" s="17">
        <f t="shared" ca="1" si="11"/>
        <v>35</v>
      </c>
    </row>
    <row r="87" spans="1:15">
      <c r="A87" s="1">
        <v>86</v>
      </c>
      <c r="B87" s="1" t="s">
        <v>233</v>
      </c>
      <c r="C87" s="1" t="s">
        <v>234</v>
      </c>
      <c r="D87" s="2">
        <v>35104</v>
      </c>
      <c r="E87" s="1" t="s">
        <v>235</v>
      </c>
      <c r="F87" s="1" t="s">
        <v>122</v>
      </c>
      <c r="G87" s="1" t="s">
        <v>19</v>
      </c>
      <c r="H87" s="1">
        <v>0</v>
      </c>
      <c r="I87" s="1" t="s">
        <v>236</v>
      </c>
      <c r="J87" s="2">
        <v>39623</v>
      </c>
      <c r="K87" s="1" t="s">
        <v>21</v>
      </c>
      <c r="L87" s="1" t="s">
        <v>94</v>
      </c>
      <c r="M87" s="3">
        <v>59944</v>
      </c>
      <c r="N87" s="18">
        <f t="shared" si="13"/>
        <v>29972</v>
      </c>
      <c r="O87" s="17">
        <f t="shared" ca="1" si="11"/>
        <v>29</v>
      </c>
    </row>
    <row r="88" spans="1:15">
      <c r="A88" s="1">
        <v>87</v>
      </c>
      <c r="B88" s="1" t="s">
        <v>237</v>
      </c>
      <c r="C88" s="1" t="s">
        <v>16</v>
      </c>
      <c r="D88" s="2">
        <v>31322</v>
      </c>
      <c r="E88" s="1" t="s">
        <v>238</v>
      </c>
      <c r="F88" s="1" t="s">
        <v>239</v>
      </c>
      <c r="G88" s="1" t="s">
        <v>27</v>
      </c>
      <c r="H88" s="1">
        <v>3</v>
      </c>
      <c r="I88" s="1" t="s">
        <v>127</v>
      </c>
      <c r="J88" s="2">
        <v>41811</v>
      </c>
      <c r="K88" s="1" t="s">
        <v>32</v>
      </c>
      <c r="L88" s="1" t="s">
        <v>33</v>
      </c>
      <c r="M88" s="3">
        <v>94729</v>
      </c>
      <c r="N88" s="14">
        <f t="shared" si="12"/>
        <v>23682.25</v>
      </c>
      <c r="O88" s="17">
        <f t="shared" ca="1" si="11"/>
        <v>40</v>
      </c>
    </row>
    <row r="89" spans="1:15">
      <c r="A89" s="1">
        <v>88</v>
      </c>
      <c r="B89" s="1" t="s">
        <v>240</v>
      </c>
      <c r="C89" s="1" t="s">
        <v>92</v>
      </c>
      <c r="D89" s="2">
        <v>33390</v>
      </c>
      <c r="E89" s="1" t="s">
        <v>241</v>
      </c>
      <c r="F89" s="1" t="s">
        <v>31</v>
      </c>
      <c r="G89" s="1" t="s">
        <v>19</v>
      </c>
      <c r="H89" s="1">
        <v>1</v>
      </c>
      <c r="I89" s="1" t="s">
        <v>242</v>
      </c>
      <c r="J89" s="2">
        <v>40729</v>
      </c>
      <c r="K89" s="1" t="s">
        <v>32</v>
      </c>
      <c r="L89" s="1" t="s">
        <v>55</v>
      </c>
      <c r="M89" s="3">
        <v>73900</v>
      </c>
      <c r="N89" s="18">
        <f t="shared" ref="N89:N90" si="14">M89 / (H89 + 2)</f>
        <v>24633.333333333332</v>
      </c>
      <c r="O89" s="17">
        <f t="shared" ca="1" si="11"/>
        <v>34</v>
      </c>
    </row>
    <row r="90" spans="1:15">
      <c r="A90" s="1">
        <v>89</v>
      </c>
      <c r="B90" s="1" t="s">
        <v>243</v>
      </c>
      <c r="C90" s="1" t="s">
        <v>126</v>
      </c>
      <c r="D90" s="2">
        <v>32919</v>
      </c>
      <c r="E90" s="1" t="s">
        <v>25</v>
      </c>
      <c r="F90" s="1" t="s">
        <v>18</v>
      </c>
      <c r="G90" s="1" t="s">
        <v>19</v>
      </c>
      <c r="H90" s="1">
        <v>1</v>
      </c>
      <c r="I90" s="1" t="s">
        <v>20</v>
      </c>
      <c r="J90" s="2">
        <v>39827</v>
      </c>
      <c r="K90" s="1" t="s">
        <v>149</v>
      </c>
      <c r="L90" s="1" t="s">
        <v>22</v>
      </c>
      <c r="M90" s="3">
        <v>58990</v>
      </c>
      <c r="N90" s="18">
        <f t="shared" si="14"/>
        <v>19663.333333333332</v>
      </c>
      <c r="O90" s="17">
        <f t="shared" ca="1" si="11"/>
        <v>35</v>
      </c>
    </row>
    <row r="91" spans="1:15">
      <c r="A91" s="1">
        <v>90</v>
      </c>
      <c r="B91" s="1" t="s">
        <v>244</v>
      </c>
      <c r="C91" s="1" t="s">
        <v>101</v>
      </c>
      <c r="D91" s="2">
        <v>29690</v>
      </c>
      <c r="E91" s="1" t="s">
        <v>90</v>
      </c>
      <c r="F91" s="1" t="s">
        <v>245</v>
      </c>
      <c r="G91" s="1" t="s">
        <v>27</v>
      </c>
      <c r="H91" s="1">
        <v>0</v>
      </c>
      <c r="I91" s="1" t="s">
        <v>37</v>
      </c>
      <c r="J91" s="2">
        <v>41578</v>
      </c>
      <c r="K91" s="1" t="s">
        <v>32</v>
      </c>
      <c r="L91" s="1" t="s">
        <v>33</v>
      </c>
      <c r="M91" s="3">
        <v>84316</v>
      </c>
      <c r="N91" s="14">
        <f t="shared" si="12"/>
        <v>84316</v>
      </c>
      <c r="O91" s="17">
        <f t="shared" ca="1" si="11"/>
        <v>44</v>
      </c>
    </row>
    <row r="92" spans="1:15">
      <c r="A92" s="1">
        <v>91</v>
      </c>
      <c r="B92" s="1" t="s">
        <v>246</v>
      </c>
      <c r="C92" s="1" t="s">
        <v>101</v>
      </c>
      <c r="D92" s="2">
        <v>26487</v>
      </c>
      <c r="E92" s="1" t="s">
        <v>25</v>
      </c>
      <c r="F92" s="1" t="s">
        <v>18</v>
      </c>
      <c r="G92" s="1" t="s">
        <v>19</v>
      </c>
      <c r="H92" s="1">
        <v>3</v>
      </c>
      <c r="I92" s="1" t="s">
        <v>37</v>
      </c>
      <c r="J92" s="2">
        <v>39904</v>
      </c>
      <c r="K92" s="1" t="s">
        <v>32</v>
      </c>
      <c r="L92" s="1" t="s">
        <v>55</v>
      </c>
      <c r="M92" s="3">
        <v>76120</v>
      </c>
      <c r="N92" s="18">
        <f t="shared" ref="N92:N99" si="15">M92 / (H92 + 2)</f>
        <v>15224</v>
      </c>
      <c r="O92" s="17">
        <f t="shared" ca="1" si="11"/>
        <v>53</v>
      </c>
    </row>
    <row r="93" spans="1:15">
      <c r="A93" s="1">
        <v>92</v>
      </c>
      <c r="B93" s="1" t="s">
        <v>247</v>
      </c>
      <c r="C93" s="1" t="s">
        <v>76</v>
      </c>
      <c r="D93" s="2">
        <v>34359</v>
      </c>
      <c r="E93" s="1" t="s">
        <v>158</v>
      </c>
      <c r="F93" s="1" t="s">
        <v>36</v>
      </c>
      <c r="G93" s="1" t="s">
        <v>19</v>
      </c>
      <c r="H93" s="1">
        <v>0</v>
      </c>
      <c r="I93" s="1" t="s">
        <v>20</v>
      </c>
      <c r="J93" s="2">
        <v>39642</v>
      </c>
      <c r="K93" s="1" t="s">
        <v>32</v>
      </c>
      <c r="L93" s="1" t="s">
        <v>78</v>
      </c>
      <c r="M93" s="3">
        <v>125044</v>
      </c>
      <c r="N93" s="18">
        <f t="shared" si="15"/>
        <v>62522</v>
      </c>
      <c r="O93" s="17">
        <f t="shared" ca="1" si="11"/>
        <v>32</v>
      </c>
    </row>
    <row r="94" spans="1:15">
      <c r="A94" s="1">
        <v>93</v>
      </c>
      <c r="B94" s="1" t="s">
        <v>248</v>
      </c>
      <c r="C94" s="1" t="s">
        <v>249</v>
      </c>
      <c r="D94" s="2">
        <v>25841</v>
      </c>
      <c r="E94" s="1" t="s">
        <v>67</v>
      </c>
      <c r="F94" s="1" t="s">
        <v>90</v>
      </c>
      <c r="G94" s="1" t="s">
        <v>19</v>
      </c>
      <c r="H94" s="1">
        <v>1</v>
      </c>
      <c r="I94" s="1" t="s">
        <v>37</v>
      </c>
      <c r="J94" s="2">
        <v>41795</v>
      </c>
      <c r="K94" s="1" t="s">
        <v>32</v>
      </c>
      <c r="L94" s="1" t="s">
        <v>78</v>
      </c>
      <c r="M94" s="3">
        <v>73930</v>
      </c>
      <c r="N94" s="18">
        <f t="shared" si="15"/>
        <v>24643.333333333332</v>
      </c>
      <c r="O94" s="17">
        <f t="shared" ca="1" si="11"/>
        <v>55</v>
      </c>
    </row>
    <row r="95" spans="1:15">
      <c r="A95" s="1">
        <v>94</v>
      </c>
      <c r="B95" s="1" t="s">
        <v>250</v>
      </c>
      <c r="C95" s="1" t="s">
        <v>251</v>
      </c>
      <c r="D95" s="2">
        <v>29538</v>
      </c>
      <c r="E95" s="1" t="s">
        <v>252</v>
      </c>
      <c r="F95" s="1" t="s">
        <v>36</v>
      </c>
      <c r="G95" s="1" t="s">
        <v>19</v>
      </c>
      <c r="H95" s="1">
        <v>0</v>
      </c>
      <c r="I95" s="1" t="s">
        <v>20</v>
      </c>
      <c r="J95" s="2">
        <v>41391</v>
      </c>
      <c r="K95" s="1" t="s">
        <v>149</v>
      </c>
      <c r="L95" s="1" t="s">
        <v>22</v>
      </c>
      <c r="M95" s="3">
        <v>81838</v>
      </c>
      <c r="N95" s="18">
        <f t="shared" si="15"/>
        <v>40919</v>
      </c>
      <c r="O95" s="17">
        <f t="shared" ca="1" si="11"/>
        <v>45</v>
      </c>
    </row>
    <row r="96" spans="1:15">
      <c r="A96" s="1">
        <v>95</v>
      </c>
      <c r="B96" s="1" t="s">
        <v>253</v>
      </c>
      <c r="C96" s="1" t="s">
        <v>254</v>
      </c>
      <c r="D96" s="2">
        <v>27287</v>
      </c>
      <c r="E96" s="1" t="s">
        <v>255</v>
      </c>
      <c r="F96" s="1" t="s">
        <v>54</v>
      </c>
      <c r="G96" s="1" t="s">
        <v>19</v>
      </c>
      <c r="H96" s="1">
        <v>1</v>
      </c>
      <c r="I96" s="1" t="s">
        <v>20</v>
      </c>
      <c r="J96" s="2">
        <v>40047</v>
      </c>
      <c r="K96" s="1" t="s">
        <v>32</v>
      </c>
      <c r="L96" s="1" t="s">
        <v>33</v>
      </c>
      <c r="M96" s="3">
        <v>120250</v>
      </c>
      <c r="N96" s="18">
        <f t="shared" si="15"/>
        <v>40083.333333333336</v>
      </c>
      <c r="O96" s="17">
        <f t="shared" ca="1" si="11"/>
        <v>51</v>
      </c>
    </row>
    <row r="97" spans="1:15">
      <c r="A97" s="1">
        <v>96</v>
      </c>
      <c r="B97" s="1" t="s">
        <v>256</v>
      </c>
      <c r="C97" s="1" t="s">
        <v>257</v>
      </c>
      <c r="D97" s="2">
        <v>30010</v>
      </c>
      <c r="E97" s="1" t="s">
        <v>25</v>
      </c>
      <c r="F97" s="1" t="s">
        <v>122</v>
      </c>
      <c r="G97" s="1" t="s">
        <v>19</v>
      </c>
      <c r="H97" s="1">
        <v>0</v>
      </c>
      <c r="I97" s="1" t="s">
        <v>20</v>
      </c>
      <c r="J97" s="2">
        <v>40017</v>
      </c>
      <c r="K97" s="1" t="s">
        <v>32</v>
      </c>
      <c r="L97" s="1" t="s">
        <v>33</v>
      </c>
      <c r="M97" s="3">
        <v>174340</v>
      </c>
      <c r="N97" s="18">
        <f t="shared" si="15"/>
        <v>87170</v>
      </c>
      <c r="O97" s="17">
        <f t="shared" ca="1" si="11"/>
        <v>43</v>
      </c>
    </row>
    <row r="98" spans="1:15">
      <c r="A98" s="1">
        <v>97</v>
      </c>
      <c r="B98" s="1" t="s">
        <v>258</v>
      </c>
      <c r="C98" s="1" t="s">
        <v>259</v>
      </c>
      <c r="D98" s="2">
        <v>27187</v>
      </c>
      <c r="E98" s="1" t="s">
        <v>260</v>
      </c>
      <c r="F98" s="1" t="s">
        <v>26</v>
      </c>
      <c r="G98" s="1" t="s">
        <v>19</v>
      </c>
      <c r="H98" s="1">
        <v>1</v>
      </c>
      <c r="I98" s="1" t="s">
        <v>37</v>
      </c>
      <c r="J98" s="2">
        <v>39311</v>
      </c>
      <c r="K98" s="1" t="s">
        <v>21</v>
      </c>
      <c r="L98" s="1" t="s">
        <v>22</v>
      </c>
      <c r="M98" s="3">
        <v>51940</v>
      </c>
      <c r="N98" s="18">
        <f t="shared" si="15"/>
        <v>17313.333333333332</v>
      </c>
      <c r="O98" s="17">
        <f t="shared" ref="O98:O121" ca="1" si="16">DATEDIF(D98,TODAY(),"Y")</f>
        <v>51</v>
      </c>
    </row>
    <row r="99" spans="1:15">
      <c r="A99" s="1">
        <v>98</v>
      </c>
      <c r="B99" s="1" t="s">
        <v>258</v>
      </c>
      <c r="C99" s="1" t="s">
        <v>259</v>
      </c>
      <c r="D99" s="2">
        <v>37663</v>
      </c>
      <c r="E99" s="1" t="s">
        <v>25</v>
      </c>
      <c r="F99" s="1" t="s">
        <v>18</v>
      </c>
      <c r="G99" s="1" t="s">
        <v>19</v>
      </c>
      <c r="H99" s="1">
        <v>1</v>
      </c>
      <c r="I99" s="1" t="s">
        <v>37</v>
      </c>
      <c r="J99" s="2">
        <v>39452</v>
      </c>
      <c r="K99" s="1" t="s">
        <v>32</v>
      </c>
      <c r="L99" s="1" t="s">
        <v>55</v>
      </c>
      <c r="M99" s="3">
        <v>73930</v>
      </c>
      <c r="N99" s="18">
        <f t="shared" si="15"/>
        <v>24643.333333333332</v>
      </c>
      <c r="O99" s="17">
        <f t="shared" ca="1" si="16"/>
        <v>22</v>
      </c>
    </row>
    <row r="100" spans="1:15">
      <c r="A100" s="1">
        <v>99</v>
      </c>
      <c r="B100" s="1" t="s">
        <v>261</v>
      </c>
      <c r="C100" s="1" t="s">
        <v>201</v>
      </c>
      <c r="D100" s="2">
        <v>36194</v>
      </c>
      <c r="E100" s="1" t="s">
        <v>262</v>
      </c>
      <c r="F100" s="1" t="s">
        <v>122</v>
      </c>
      <c r="G100" s="1" t="s">
        <v>27</v>
      </c>
      <c r="H100" s="1">
        <v>1</v>
      </c>
      <c r="I100" s="1" t="s">
        <v>45</v>
      </c>
      <c r="J100" s="2">
        <v>39402</v>
      </c>
      <c r="K100" s="1" t="s">
        <v>32</v>
      </c>
      <c r="L100" s="1" t="s">
        <v>33</v>
      </c>
      <c r="M100" s="3">
        <v>118330</v>
      </c>
      <c r="N100" s="14">
        <f t="shared" ref="N98:N129" si="17">M100 / (H100 + 1)</f>
        <v>59165</v>
      </c>
      <c r="O100" s="17">
        <f t="shared" ca="1" si="16"/>
        <v>27</v>
      </c>
    </row>
    <row r="101" spans="1:15">
      <c r="A101" s="1">
        <v>100</v>
      </c>
      <c r="B101" s="1" t="s">
        <v>263</v>
      </c>
      <c r="C101" s="1" t="s">
        <v>160</v>
      </c>
      <c r="D101" s="2">
        <v>29505</v>
      </c>
      <c r="E101" s="1" t="s">
        <v>264</v>
      </c>
      <c r="F101" s="1" t="s">
        <v>40</v>
      </c>
      <c r="G101" s="1" t="s">
        <v>19</v>
      </c>
      <c r="H101" s="1">
        <v>2</v>
      </c>
      <c r="I101" s="1" t="s">
        <v>265</v>
      </c>
      <c r="J101" s="2">
        <v>41293</v>
      </c>
      <c r="K101" s="1" t="s">
        <v>32</v>
      </c>
      <c r="L101" s="1" t="s">
        <v>33</v>
      </c>
      <c r="M101" s="3">
        <v>94720</v>
      </c>
      <c r="N101" s="18">
        <f t="shared" ref="N101:N106" si="18">M101 / (H101 + 2)</f>
        <v>23680</v>
      </c>
      <c r="O101" s="17">
        <f t="shared" ca="1" si="16"/>
        <v>45</v>
      </c>
    </row>
    <row r="102" spans="1:15">
      <c r="A102" s="1">
        <v>101</v>
      </c>
      <c r="B102" s="1" t="s">
        <v>266</v>
      </c>
      <c r="C102" s="1" t="s">
        <v>267</v>
      </c>
      <c r="D102" s="2">
        <v>34517</v>
      </c>
      <c r="E102" s="1" t="s">
        <v>90</v>
      </c>
      <c r="F102" s="1" t="s">
        <v>54</v>
      </c>
      <c r="G102" s="1" t="s">
        <v>19</v>
      </c>
      <c r="H102" s="1">
        <v>6</v>
      </c>
      <c r="I102" s="1" t="s">
        <v>45</v>
      </c>
      <c r="J102" s="2">
        <v>39937</v>
      </c>
      <c r="K102" s="1" t="s">
        <v>149</v>
      </c>
      <c r="L102" s="1" t="s">
        <v>22</v>
      </c>
      <c r="M102" s="3">
        <v>68864</v>
      </c>
      <c r="N102" s="18">
        <f t="shared" si="18"/>
        <v>8608</v>
      </c>
      <c r="O102" s="17">
        <f t="shared" ca="1" si="16"/>
        <v>31</v>
      </c>
    </row>
    <row r="103" spans="1:15">
      <c r="A103" s="1">
        <v>102</v>
      </c>
      <c r="B103" s="1" t="s">
        <v>268</v>
      </c>
      <c r="C103" s="1" t="s">
        <v>80</v>
      </c>
      <c r="D103" s="2">
        <v>30922</v>
      </c>
      <c r="E103" s="1" t="s">
        <v>93</v>
      </c>
      <c r="F103" s="1" t="s">
        <v>90</v>
      </c>
      <c r="G103" s="1" t="s">
        <v>19</v>
      </c>
      <c r="H103" s="1">
        <v>1</v>
      </c>
      <c r="I103" s="1" t="s">
        <v>59</v>
      </c>
      <c r="J103" s="2">
        <v>39340</v>
      </c>
      <c r="K103" s="1" t="s">
        <v>87</v>
      </c>
      <c r="L103" s="1" t="s">
        <v>88</v>
      </c>
      <c r="M103" s="3">
        <v>76600</v>
      </c>
      <c r="N103" s="18">
        <f t="shared" si="18"/>
        <v>25533.333333333332</v>
      </c>
      <c r="O103" s="17">
        <f t="shared" ca="1" si="16"/>
        <v>41</v>
      </c>
    </row>
    <row r="104" spans="1:15">
      <c r="A104" s="1">
        <v>103</v>
      </c>
      <c r="B104" s="1" t="s">
        <v>269</v>
      </c>
      <c r="C104" s="1" t="s">
        <v>270</v>
      </c>
      <c r="D104" s="2">
        <v>27756</v>
      </c>
      <c r="E104" s="1" t="s">
        <v>25</v>
      </c>
      <c r="F104" s="1" t="s">
        <v>18</v>
      </c>
      <c r="G104" s="1" t="s">
        <v>19</v>
      </c>
      <c r="H104" s="1">
        <v>0</v>
      </c>
      <c r="I104" s="1" t="s">
        <v>37</v>
      </c>
      <c r="J104" s="2">
        <v>39379</v>
      </c>
      <c r="K104" s="1" t="s">
        <v>32</v>
      </c>
      <c r="L104" s="1" t="s">
        <v>78</v>
      </c>
      <c r="M104" s="3">
        <v>84316</v>
      </c>
      <c r="N104" s="18">
        <f t="shared" si="18"/>
        <v>42158</v>
      </c>
      <c r="O104" s="17">
        <f t="shared" ca="1" si="16"/>
        <v>50</v>
      </c>
    </row>
    <row r="105" spans="1:15">
      <c r="A105" s="1">
        <v>104</v>
      </c>
      <c r="B105" s="1" t="s">
        <v>269</v>
      </c>
      <c r="C105" s="1" t="s">
        <v>271</v>
      </c>
      <c r="D105" s="2">
        <v>26349</v>
      </c>
      <c r="E105" s="1" t="s">
        <v>25</v>
      </c>
      <c r="F105" s="1" t="s">
        <v>122</v>
      </c>
      <c r="G105" s="1" t="s">
        <v>19</v>
      </c>
      <c r="H105" s="1">
        <v>1</v>
      </c>
      <c r="I105" s="1" t="s">
        <v>59</v>
      </c>
      <c r="J105" s="2">
        <v>39505</v>
      </c>
      <c r="K105" s="1" t="s">
        <v>87</v>
      </c>
      <c r="L105" s="1" t="s">
        <v>88</v>
      </c>
      <c r="M105" s="3">
        <v>76600</v>
      </c>
      <c r="N105" s="18">
        <f t="shared" si="18"/>
        <v>25533.333333333332</v>
      </c>
      <c r="O105" s="17">
        <f t="shared" ca="1" si="16"/>
        <v>53</v>
      </c>
    </row>
    <row r="106" spans="1:15">
      <c r="A106" s="1">
        <v>105</v>
      </c>
      <c r="B106" s="1" t="s">
        <v>272</v>
      </c>
      <c r="C106" s="1" t="s">
        <v>273</v>
      </c>
      <c r="D106" s="2">
        <v>34319</v>
      </c>
      <c r="E106" s="1" t="s">
        <v>274</v>
      </c>
      <c r="F106" s="1" t="s">
        <v>54</v>
      </c>
      <c r="G106" s="1" t="s">
        <v>19</v>
      </c>
      <c r="H106" s="1">
        <v>4</v>
      </c>
      <c r="I106" s="1" t="s">
        <v>28</v>
      </c>
      <c r="J106" s="2">
        <v>39410</v>
      </c>
      <c r="K106" s="1" t="s">
        <v>21</v>
      </c>
      <c r="L106" s="1" t="s">
        <v>22</v>
      </c>
      <c r="M106" s="3">
        <v>127900</v>
      </c>
      <c r="N106" s="18">
        <f t="shared" si="18"/>
        <v>21316.666666666668</v>
      </c>
      <c r="O106" s="17">
        <f t="shared" ca="1" si="16"/>
        <v>32</v>
      </c>
    </row>
    <row r="107" spans="1:15">
      <c r="A107" s="1">
        <v>106</v>
      </c>
      <c r="B107" s="1" t="s">
        <v>275</v>
      </c>
      <c r="C107" s="1" t="s">
        <v>154</v>
      </c>
      <c r="D107" s="2">
        <v>30399</v>
      </c>
      <c r="E107" s="1" t="s">
        <v>36</v>
      </c>
      <c r="F107" s="1" t="s">
        <v>40</v>
      </c>
      <c r="G107" s="1" t="s">
        <v>27</v>
      </c>
      <c r="H107" s="1">
        <v>1</v>
      </c>
      <c r="I107" s="1" t="s">
        <v>37</v>
      </c>
      <c r="J107" s="2">
        <v>38802</v>
      </c>
      <c r="K107" s="1" t="s">
        <v>32</v>
      </c>
      <c r="L107" s="1" t="s">
        <v>33</v>
      </c>
      <c r="M107" s="3">
        <v>136000</v>
      </c>
      <c r="N107" s="14">
        <f t="shared" si="17"/>
        <v>68000</v>
      </c>
      <c r="O107" s="17">
        <f t="shared" ca="1" si="16"/>
        <v>42</v>
      </c>
    </row>
    <row r="108" spans="1:15">
      <c r="A108" s="1">
        <v>107</v>
      </c>
      <c r="B108" s="1" t="s">
        <v>276</v>
      </c>
      <c r="C108" s="1" t="s">
        <v>49</v>
      </c>
      <c r="D108" s="2">
        <v>31790</v>
      </c>
      <c r="E108" s="1" t="s">
        <v>138</v>
      </c>
      <c r="F108" s="1" t="s">
        <v>31</v>
      </c>
      <c r="G108" s="1" t="s">
        <v>19</v>
      </c>
      <c r="H108" s="1">
        <v>2</v>
      </c>
      <c r="I108" s="1" t="s">
        <v>37</v>
      </c>
      <c r="J108" s="2">
        <v>41600</v>
      </c>
      <c r="K108" s="1" t="s">
        <v>32</v>
      </c>
      <c r="L108" s="1" t="s">
        <v>78</v>
      </c>
      <c r="M108" s="3">
        <v>53650</v>
      </c>
      <c r="N108" s="18">
        <f t="shared" ref="N108:N121" si="19">M108 / (H108 + 2)</f>
        <v>13412.5</v>
      </c>
      <c r="O108" s="17">
        <f t="shared" ca="1" si="16"/>
        <v>39</v>
      </c>
    </row>
    <row r="109" spans="1:15">
      <c r="A109" s="1">
        <v>108</v>
      </c>
      <c r="B109" s="1" t="s">
        <v>277</v>
      </c>
      <c r="C109" s="1" t="s">
        <v>107</v>
      </c>
      <c r="D109" s="2">
        <v>27943</v>
      </c>
      <c r="E109" s="1" t="s">
        <v>25</v>
      </c>
      <c r="F109" s="1" t="s">
        <v>122</v>
      </c>
      <c r="G109" s="1" t="s">
        <v>19</v>
      </c>
      <c r="H109" s="1">
        <v>0</v>
      </c>
      <c r="I109" s="1" t="s">
        <v>20</v>
      </c>
      <c r="J109" s="2">
        <v>38862</v>
      </c>
      <c r="K109" s="1" t="s">
        <v>149</v>
      </c>
      <c r="L109" s="1" t="s">
        <v>94</v>
      </c>
      <c r="M109" s="3">
        <v>81838</v>
      </c>
      <c r="N109" s="18">
        <f t="shared" si="19"/>
        <v>40919</v>
      </c>
      <c r="O109" s="17">
        <f t="shared" ca="1" si="16"/>
        <v>49</v>
      </c>
    </row>
    <row r="110" spans="1:15">
      <c r="A110" s="1">
        <v>109</v>
      </c>
      <c r="B110" s="1" t="s">
        <v>278</v>
      </c>
      <c r="C110" s="1" t="s">
        <v>279</v>
      </c>
      <c r="D110" s="2">
        <v>36097</v>
      </c>
      <c r="E110" s="1" t="s">
        <v>67</v>
      </c>
      <c r="F110" s="1" t="s">
        <v>90</v>
      </c>
      <c r="G110" s="1" t="s">
        <v>19</v>
      </c>
      <c r="H110" s="1">
        <v>5</v>
      </c>
      <c r="I110" s="1" t="s">
        <v>64</v>
      </c>
      <c r="J110" s="2">
        <v>39427</v>
      </c>
      <c r="K110" s="1" t="s">
        <v>68</v>
      </c>
      <c r="L110" s="1" t="s">
        <v>88</v>
      </c>
      <c r="M110" s="3">
        <v>66700</v>
      </c>
      <c r="N110" s="18">
        <f t="shared" si="19"/>
        <v>9528.5714285714294</v>
      </c>
      <c r="O110" s="17">
        <f t="shared" ca="1" si="16"/>
        <v>27</v>
      </c>
    </row>
    <row r="111" spans="1:15">
      <c r="A111" s="1">
        <v>110</v>
      </c>
      <c r="B111" s="1" t="s">
        <v>280</v>
      </c>
      <c r="C111" s="1" t="s">
        <v>101</v>
      </c>
      <c r="D111" s="2">
        <v>30013</v>
      </c>
      <c r="E111" s="1" t="s">
        <v>25</v>
      </c>
      <c r="F111" s="1" t="s">
        <v>18</v>
      </c>
      <c r="G111" s="1" t="s">
        <v>19</v>
      </c>
      <c r="H111" s="1">
        <v>2</v>
      </c>
      <c r="I111" s="1" t="s">
        <v>59</v>
      </c>
      <c r="J111" s="2">
        <v>39704</v>
      </c>
      <c r="K111" s="1" t="s">
        <v>32</v>
      </c>
      <c r="L111" s="1" t="s">
        <v>55</v>
      </c>
      <c r="M111" s="3">
        <v>138010</v>
      </c>
      <c r="N111" s="18">
        <f t="shared" si="19"/>
        <v>34502.5</v>
      </c>
      <c r="O111" s="17">
        <f t="shared" ca="1" si="16"/>
        <v>43</v>
      </c>
    </row>
    <row r="112" spans="1:15">
      <c r="A112" s="1">
        <v>111</v>
      </c>
      <c r="B112" s="1" t="s">
        <v>281</v>
      </c>
      <c r="C112" s="1" t="s">
        <v>121</v>
      </c>
      <c r="D112" s="2">
        <v>36099</v>
      </c>
      <c r="E112" s="1" t="s">
        <v>282</v>
      </c>
      <c r="F112" s="1" t="s">
        <v>54</v>
      </c>
      <c r="G112" s="1" t="s">
        <v>19</v>
      </c>
      <c r="H112" s="1">
        <v>3</v>
      </c>
      <c r="I112" s="1" t="s">
        <v>283</v>
      </c>
      <c r="J112" s="2">
        <v>39707</v>
      </c>
      <c r="K112" s="1" t="s">
        <v>21</v>
      </c>
      <c r="L112" s="1" t="s">
        <v>22</v>
      </c>
      <c r="M112" s="3">
        <v>91996</v>
      </c>
      <c r="N112" s="18">
        <f t="shared" si="19"/>
        <v>18399.2</v>
      </c>
      <c r="O112" s="17">
        <f t="shared" ca="1" si="16"/>
        <v>27</v>
      </c>
    </row>
    <row r="113" spans="1:15">
      <c r="A113" s="1">
        <v>112</v>
      </c>
      <c r="B113" s="1" t="s">
        <v>284</v>
      </c>
      <c r="C113" s="1" t="s">
        <v>63</v>
      </c>
      <c r="D113" s="2">
        <v>29619</v>
      </c>
      <c r="E113" s="1" t="s">
        <v>26</v>
      </c>
      <c r="F113" s="1" t="s">
        <v>36</v>
      </c>
      <c r="G113" s="1" t="s">
        <v>19</v>
      </c>
      <c r="H113" s="1">
        <v>4</v>
      </c>
      <c r="I113" s="1" t="s">
        <v>59</v>
      </c>
      <c r="J113" s="2">
        <v>41709</v>
      </c>
      <c r="K113" s="1" t="s">
        <v>32</v>
      </c>
      <c r="L113" s="1" t="s">
        <v>78</v>
      </c>
      <c r="M113" s="3">
        <v>92290</v>
      </c>
      <c r="N113" s="18">
        <f t="shared" si="19"/>
        <v>15381.666666666666</v>
      </c>
      <c r="O113" s="17">
        <f t="shared" ca="1" si="16"/>
        <v>45</v>
      </c>
    </row>
    <row r="114" spans="1:15">
      <c r="A114" s="1">
        <v>113</v>
      </c>
      <c r="B114" s="1" t="s">
        <v>285</v>
      </c>
      <c r="C114" s="1" t="s">
        <v>83</v>
      </c>
      <c r="D114" s="2">
        <v>27220</v>
      </c>
      <c r="E114" s="1" t="s">
        <v>25</v>
      </c>
      <c r="F114" s="1" t="s">
        <v>18</v>
      </c>
      <c r="G114" s="1" t="s">
        <v>19</v>
      </c>
      <c r="H114" s="1">
        <v>0</v>
      </c>
      <c r="I114" s="1" t="s">
        <v>45</v>
      </c>
      <c r="J114" s="2">
        <v>39998</v>
      </c>
      <c r="K114" s="1" t="s">
        <v>32</v>
      </c>
      <c r="L114" s="1" t="s">
        <v>78</v>
      </c>
      <c r="M114" s="3">
        <v>74200</v>
      </c>
      <c r="N114" s="18">
        <f t="shared" si="19"/>
        <v>37100</v>
      </c>
      <c r="O114" s="17">
        <f t="shared" ca="1" si="16"/>
        <v>51</v>
      </c>
    </row>
    <row r="115" spans="1:15">
      <c r="A115" s="1">
        <v>114</v>
      </c>
      <c r="B115" s="1" t="s">
        <v>286</v>
      </c>
      <c r="C115" s="1" t="s">
        <v>287</v>
      </c>
      <c r="D115" s="2">
        <v>29058</v>
      </c>
      <c r="E115" s="1" t="s">
        <v>288</v>
      </c>
      <c r="F115" s="1" t="s">
        <v>31</v>
      </c>
      <c r="G115" s="1" t="s">
        <v>19</v>
      </c>
      <c r="H115" s="1">
        <v>0</v>
      </c>
      <c r="I115" s="1" t="s">
        <v>20</v>
      </c>
      <c r="J115" s="2">
        <v>39544</v>
      </c>
      <c r="K115" s="1" t="s">
        <v>46</v>
      </c>
      <c r="L115" s="1" t="s">
        <v>47</v>
      </c>
      <c r="M115" s="3">
        <v>88726</v>
      </c>
      <c r="N115" s="18">
        <f t="shared" si="19"/>
        <v>44363</v>
      </c>
      <c r="O115" s="17">
        <f t="shared" ca="1" si="16"/>
        <v>46</v>
      </c>
    </row>
    <row r="116" spans="1:15">
      <c r="A116" s="1">
        <v>115</v>
      </c>
      <c r="B116" s="1" t="s">
        <v>289</v>
      </c>
      <c r="C116" s="1" t="s">
        <v>225</v>
      </c>
      <c r="D116" s="2">
        <v>29561</v>
      </c>
      <c r="E116" s="1" t="s">
        <v>290</v>
      </c>
      <c r="F116" s="1" t="s">
        <v>290</v>
      </c>
      <c r="G116" s="1" t="s">
        <v>19</v>
      </c>
      <c r="H116" s="1">
        <v>2</v>
      </c>
      <c r="I116" s="1" t="s">
        <v>37</v>
      </c>
      <c r="J116" s="2">
        <v>39986</v>
      </c>
      <c r="K116" s="1" t="s">
        <v>32</v>
      </c>
      <c r="L116" s="1" t="s">
        <v>55</v>
      </c>
      <c r="M116" s="3">
        <v>53650</v>
      </c>
      <c r="N116" s="18">
        <f t="shared" si="19"/>
        <v>13412.5</v>
      </c>
      <c r="O116" s="17">
        <f t="shared" ca="1" si="16"/>
        <v>45</v>
      </c>
    </row>
    <row r="117" spans="1:15">
      <c r="A117" s="1">
        <v>116</v>
      </c>
      <c r="B117" s="1" t="s">
        <v>291</v>
      </c>
      <c r="C117" s="1" t="s">
        <v>292</v>
      </c>
      <c r="D117" s="2">
        <v>27165</v>
      </c>
      <c r="E117" s="1" t="s">
        <v>25</v>
      </c>
      <c r="F117" s="1" t="s">
        <v>26</v>
      </c>
      <c r="G117" s="1" t="s">
        <v>19</v>
      </c>
      <c r="H117" s="1">
        <v>1</v>
      </c>
      <c r="I117" s="1" t="s">
        <v>265</v>
      </c>
      <c r="J117" s="2">
        <v>40095</v>
      </c>
      <c r="K117" s="1" t="s">
        <v>21</v>
      </c>
      <c r="L117" s="1" t="s">
        <v>22</v>
      </c>
      <c r="M117" s="3">
        <v>53254</v>
      </c>
      <c r="N117" s="18">
        <f t="shared" si="19"/>
        <v>17751.333333333332</v>
      </c>
      <c r="O117" s="17">
        <f t="shared" ca="1" si="16"/>
        <v>51</v>
      </c>
    </row>
    <row r="118" spans="1:15">
      <c r="A118" s="1">
        <v>117</v>
      </c>
      <c r="B118" s="1" t="s">
        <v>293</v>
      </c>
      <c r="C118" s="1" t="s">
        <v>294</v>
      </c>
      <c r="D118" s="2">
        <v>28733</v>
      </c>
      <c r="E118" s="1" t="s">
        <v>295</v>
      </c>
      <c r="F118" s="1" t="s">
        <v>54</v>
      </c>
      <c r="G118" s="1" t="s">
        <v>19</v>
      </c>
      <c r="H118" s="1">
        <v>3</v>
      </c>
      <c r="I118" s="1" t="s">
        <v>37</v>
      </c>
      <c r="J118" s="2">
        <v>41534</v>
      </c>
      <c r="K118" s="1" t="s">
        <v>32</v>
      </c>
      <c r="L118" s="1" t="s">
        <v>296</v>
      </c>
      <c r="M118" s="3">
        <v>83074</v>
      </c>
      <c r="N118" s="18">
        <f t="shared" si="19"/>
        <v>16614.8</v>
      </c>
      <c r="O118" s="17">
        <f t="shared" ca="1" si="16"/>
        <v>47</v>
      </c>
    </row>
    <row r="119" spans="1:15">
      <c r="A119" s="1">
        <v>118</v>
      </c>
      <c r="B119" s="1" t="s">
        <v>297</v>
      </c>
      <c r="C119" s="1" t="s">
        <v>298</v>
      </c>
      <c r="D119" s="2">
        <v>37120</v>
      </c>
      <c r="E119" s="1" t="s">
        <v>25</v>
      </c>
      <c r="F119" s="1" t="s">
        <v>18</v>
      </c>
      <c r="G119" s="1" t="s">
        <v>19</v>
      </c>
      <c r="H119" s="1">
        <v>3</v>
      </c>
      <c r="I119" s="1" t="s">
        <v>299</v>
      </c>
      <c r="J119" s="2">
        <v>39728</v>
      </c>
      <c r="K119" s="1" t="s">
        <v>21</v>
      </c>
      <c r="L119" s="1" t="s">
        <v>300</v>
      </c>
      <c r="M119" s="3">
        <v>124822</v>
      </c>
      <c r="N119" s="18">
        <f t="shared" si="19"/>
        <v>24964.400000000001</v>
      </c>
      <c r="O119" s="17">
        <f t="shared" ca="1" si="16"/>
        <v>24</v>
      </c>
    </row>
    <row r="120" spans="1:15">
      <c r="A120" s="1">
        <v>119</v>
      </c>
      <c r="B120" s="1" t="s">
        <v>301</v>
      </c>
      <c r="C120" s="1" t="s">
        <v>302</v>
      </c>
      <c r="D120" s="2">
        <v>35967</v>
      </c>
      <c r="E120" s="1" t="s">
        <v>303</v>
      </c>
      <c r="F120" s="1" t="s">
        <v>36</v>
      </c>
      <c r="G120" s="1" t="s">
        <v>19</v>
      </c>
      <c r="H120" s="1">
        <v>2</v>
      </c>
      <c r="I120" s="1" t="s">
        <v>127</v>
      </c>
      <c r="J120" s="2">
        <v>38863</v>
      </c>
      <c r="K120" s="1" t="s">
        <v>32</v>
      </c>
      <c r="L120" s="1" t="s">
        <v>78</v>
      </c>
      <c r="M120" s="3">
        <v>138010</v>
      </c>
      <c r="N120" s="18">
        <f t="shared" si="19"/>
        <v>34502.5</v>
      </c>
      <c r="O120" s="17">
        <f t="shared" ca="1" si="16"/>
        <v>27</v>
      </c>
    </row>
    <row r="121" spans="1:15">
      <c r="A121" s="1">
        <v>120</v>
      </c>
      <c r="B121" s="1" t="s">
        <v>304</v>
      </c>
      <c r="C121" s="1" t="s">
        <v>302</v>
      </c>
      <c r="D121" s="2">
        <v>34341</v>
      </c>
      <c r="E121" s="1" t="s">
        <v>37</v>
      </c>
      <c r="F121" s="1" t="s">
        <v>31</v>
      </c>
      <c r="G121" s="1" t="s">
        <v>19</v>
      </c>
      <c r="H121" s="1">
        <v>0</v>
      </c>
      <c r="I121" s="1" t="s">
        <v>81</v>
      </c>
      <c r="J121" s="2">
        <v>41084</v>
      </c>
      <c r="K121" s="1" t="s">
        <v>21</v>
      </c>
      <c r="L121" s="1" t="s">
        <v>94</v>
      </c>
      <c r="M121" s="3">
        <v>98976</v>
      </c>
      <c r="N121" s="18">
        <f t="shared" si="19"/>
        <v>49488</v>
      </c>
      <c r="O121" s="17">
        <f t="shared" ca="1" si="16"/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EA1F-0AE1-483E-B7FF-EB026540C8D8}">
  <dimension ref="A1:D66"/>
  <sheetViews>
    <sheetView tabSelected="1" workbookViewId="0"/>
  </sheetViews>
  <sheetFormatPr defaultRowHeight="15"/>
  <cols>
    <col min="1" max="1" width="12.42578125" bestFit="1" customWidth="1"/>
    <col min="2" max="2" width="13.5703125" bestFit="1" customWidth="1"/>
    <col min="3" max="3" width="17.5703125" customWidth="1"/>
    <col min="4" max="4" width="22.7109375" customWidth="1"/>
    <col min="5" max="7" width="11.42578125" customWidth="1"/>
    <col min="8" max="41" width="11.42578125" bestFit="1" customWidth="1"/>
    <col min="42" max="63" width="12.42578125" bestFit="1" customWidth="1"/>
    <col min="64" max="64" width="14.28515625" bestFit="1" customWidth="1"/>
    <col min="65" max="65" width="14.140625" bestFit="1" customWidth="1"/>
  </cols>
  <sheetData>
    <row r="1" spans="1:4">
      <c r="A1" s="4" t="s">
        <v>10</v>
      </c>
      <c r="B1" t="s">
        <v>305</v>
      </c>
      <c r="C1" s="42" t="s">
        <v>306</v>
      </c>
      <c r="D1" s="42" t="s">
        <v>307</v>
      </c>
    </row>
    <row r="2" spans="1:4">
      <c r="C2" s="37">
        <f>AVERAGE(A4:A50)</f>
        <v>80539.531914893611</v>
      </c>
      <c r="D2" s="37">
        <f>SUM(A4:A66)</f>
        <v>5948092</v>
      </c>
    </row>
    <row r="3" spans="1:4">
      <c r="A3" s="4" t="s">
        <v>12</v>
      </c>
    </row>
    <row r="4" spans="1:4">
      <c r="A4" s="37">
        <v>51940</v>
      </c>
    </row>
    <row r="5" spans="1:4">
      <c r="A5" s="37">
        <v>53254</v>
      </c>
    </row>
    <row r="6" spans="1:4">
      <c r="A6" s="37">
        <v>53650</v>
      </c>
    </row>
    <row r="7" spans="1:4">
      <c r="A7" s="37">
        <v>56995</v>
      </c>
    </row>
    <row r="8" spans="1:4">
      <c r="A8" s="37">
        <v>58990</v>
      </c>
    </row>
    <row r="9" spans="1:4">
      <c r="A9" s="37">
        <v>59944</v>
      </c>
    </row>
    <row r="10" spans="1:4">
      <c r="A10" s="37">
        <v>62920</v>
      </c>
    </row>
    <row r="11" spans="1:4">
      <c r="A11" s="37">
        <v>63130</v>
      </c>
    </row>
    <row r="12" spans="1:4">
      <c r="A12" s="37">
        <v>63283</v>
      </c>
    </row>
    <row r="13" spans="1:4">
      <c r="A13" s="37">
        <v>66700</v>
      </c>
    </row>
    <row r="14" spans="1:4">
      <c r="A14" s="37">
        <v>66760</v>
      </c>
    </row>
    <row r="15" spans="1:4">
      <c r="A15" s="37">
        <v>68864</v>
      </c>
    </row>
    <row r="16" spans="1:4">
      <c r="A16" s="37">
        <v>70726</v>
      </c>
    </row>
    <row r="17" spans="1:1">
      <c r="A17" s="37">
        <v>73000</v>
      </c>
    </row>
    <row r="18" spans="1:1">
      <c r="A18" s="37">
        <v>73720</v>
      </c>
    </row>
    <row r="19" spans="1:1">
      <c r="A19" s="37">
        <v>73750</v>
      </c>
    </row>
    <row r="20" spans="1:1">
      <c r="A20" s="37">
        <v>73900</v>
      </c>
    </row>
    <row r="21" spans="1:1">
      <c r="A21" s="37">
        <v>73930</v>
      </c>
    </row>
    <row r="22" spans="1:1">
      <c r="A22" s="37">
        <v>74200</v>
      </c>
    </row>
    <row r="23" spans="1:1">
      <c r="A23" s="37">
        <v>75400</v>
      </c>
    </row>
    <row r="24" spans="1:1">
      <c r="A24" s="37">
        <v>76018</v>
      </c>
    </row>
    <row r="25" spans="1:1">
      <c r="A25" s="37">
        <v>76120</v>
      </c>
    </row>
    <row r="26" spans="1:1">
      <c r="A26" s="37">
        <v>76600</v>
      </c>
    </row>
    <row r="27" spans="1:1">
      <c r="A27" s="37">
        <v>79600</v>
      </c>
    </row>
    <row r="28" spans="1:1">
      <c r="A28" s="37">
        <v>80185</v>
      </c>
    </row>
    <row r="29" spans="1:1">
      <c r="A29" s="37">
        <v>81838</v>
      </c>
    </row>
    <row r="30" spans="1:1">
      <c r="A30" s="37">
        <v>83074</v>
      </c>
    </row>
    <row r="31" spans="1:1">
      <c r="A31" s="37">
        <v>83200</v>
      </c>
    </row>
    <row r="32" spans="1:1">
      <c r="A32" s="37">
        <v>83269</v>
      </c>
    </row>
    <row r="33" spans="1:1">
      <c r="A33" s="37">
        <v>83500</v>
      </c>
    </row>
    <row r="34" spans="1:1">
      <c r="A34" s="37">
        <v>84316</v>
      </c>
    </row>
    <row r="35" spans="1:1">
      <c r="A35" s="37">
        <v>86500</v>
      </c>
    </row>
    <row r="36" spans="1:1">
      <c r="A36" s="37">
        <v>88726</v>
      </c>
    </row>
    <row r="37" spans="1:1">
      <c r="A37" s="37">
        <v>91996</v>
      </c>
    </row>
    <row r="38" spans="1:1">
      <c r="A38" s="37">
        <v>92290</v>
      </c>
    </row>
    <row r="39" spans="1:1">
      <c r="A39" s="37">
        <v>92650</v>
      </c>
    </row>
    <row r="40" spans="1:1">
      <c r="A40" s="37">
        <v>94720</v>
      </c>
    </row>
    <row r="41" spans="1:1">
      <c r="A41" s="37">
        <v>94729</v>
      </c>
    </row>
    <row r="42" spans="1:1">
      <c r="A42" s="37">
        <v>97690</v>
      </c>
    </row>
    <row r="43" spans="1:1">
      <c r="A43" s="37">
        <v>98185</v>
      </c>
    </row>
    <row r="44" spans="1:1">
      <c r="A44" s="37">
        <v>98976</v>
      </c>
    </row>
    <row r="45" spans="1:1">
      <c r="A45" s="37">
        <v>100420</v>
      </c>
    </row>
    <row r="46" spans="1:1">
      <c r="A46" s="37">
        <v>103240</v>
      </c>
    </row>
    <row r="47" spans="1:1">
      <c r="A47" s="37">
        <v>105044</v>
      </c>
    </row>
    <row r="48" spans="1:1">
      <c r="A48" s="37">
        <v>108976</v>
      </c>
    </row>
    <row r="49" spans="1:1">
      <c r="A49" s="37">
        <v>113680</v>
      </c>
    </row>
    <row r="50" spans="1:1">
      <c r="A50" s="37">
        <v>114760</v>
      </c>
    </row>
    <row r="51" spans="1:1">
      <c r="A51" s="37">
        <v>116440</v>
      </c>
    </row>
    <row r="52" spans="1:1">
      <c r="A52" s="37">
        <v>118330</v>
      </c>
    </row>
    <row r="53" spans="1:1">
      <c r="A53" s="37">
        <v>118900</v>
      </c>
    </row>
    <row r="54" spans="1:1">
      <c r="A54" s="37">
        <v>120100</v>
      </c>
    </row>
    <row r="55" spans="1:1">
      <c r="A55" s="37">
        <v>120250</v>
      </c>
    </row>
    <row r="56" spans="1:1">
      <c r="A56" s="37">
        <v>124822</v>
      </c>
    </row>
    <row r="57" spans="1:1">
      <c r="A57" s="37">
        <v>125044</v>
      </c>
    </row>
    <row r="58" spans="1:1">
      <c r="A58" s="37">
        <v>125380</v>
      </c>
    </row>
    <row r="59" spans="1:1">
      <c r="A59" s="37">
        <v>127018</v>
      </c>
    </row>
    <row r="60" spans="1:1">
      <c r="A60" s="37">
        <v>127900</v>
      </c>
    </row>
    <row r="61" spans="1:1">
      <c r="A61" s="37">
        <v>136000</v>
      </c>
    </row>
    <row r="62" spans="1:1">
      <c r="A62" s="37">
        <v>138010</v>
      </c>
    </row>
    <row r="63" spans="1:1">
      <c r="A63" s="37">
        <v>148864</v>
      </c>
    </row>
    <row r="64" spans="1:1">
      <c r="A64" s="37">
        <v>154780</v>
      </c>
    </row>
    <row r="65" spans="1:1">
      <c r="A65" s="37">
        <v>174340</v>
      </c>
    </row>
    <row r="66" spans="1:1">
      <c r="A66" s="37">
        <v>186556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3D7C-64EF-417F-A2A7-D1D504592D02}">
  <sheetPr filterMode="1"/>
  <dimension ref="A1:AL121"/>
  <sheetViews>
    <sheetView workbookViewId="0">
      <selection activeCell="I4" sqref="I4"/>
    </sheetView>
  </sheetViews>
  <sheetFormatPr defaultRowHeight="15"/>
  <cols>
    <col min="1" max="1" width="31" customWidth="1"/>
    <col min="2" max="2" width="28" customWidth="1"/>
    <col min="3" max="3" width="19.28515625" customWidth="1"/>
    <col min="4" max="4" width="28" customWidth="1"/>
    <col min="5" max="5" width="10.5703125" customWidth="1"/>
    <col min="6" max="6" width="22.85546875" customWidth="1"/>
    <col min="7" max="7" width="29.85546875" customWidth="1"/>
    <col min="8" max="8" width="24" customWidth="1"/>
    <col min="9" max="9" width="26.5703125" customWidth="1"/>
    <col min="10" max="10" width="32.42578125" customWidth="1"/>
    <col min="11" max="11" width="23.140625" customWidth="1"/>
    <col min="12" max="12" width="19.28515625" customWidth="1"/>
    <col min="13" max="13" width="18.28515625" customWidth="1"/>
    <col min="14" max="14" width="11.42578125" customWidth="1"/>
    <col min="18" max="18" width="14.85546875" bestFit="1" customWidth="1"/>
    <col min="19" max="19" width="18.140625" bestFit="1" customWidth="1"/>
    <col min="20" max="20" width="19.42578125" bestFit="1" customWidth="1"/>
    <col min="21" max="21" width="19.5703125" bestFit="1" customWidth="1"/>
    <col min="24" max="24" width="12.140625" bestFit="1" customWidth="1"/>
    <col min="26" max="26" width="16.5703125" customWidth="1"/>
    <col min="27" max="27" width="19.28515625" customWidth="1"/>
    <col min="33" max="33" width="17.42578125" customWidth="1"/>
    <col min="37" max="37" width="19.140625" customWidth="1"/>
    <col min="38" max="38" width="19.85546875" customWidth="1"/>
  </cols>
  <sheetData>
    <row r="1" spans="1:38">
      <c r="A1" s="39" t="s">
        <v>10</v>
      </c>
      <c r="B1" s="39" t="s">
        <v>12</v>
      </c>
      <c r="C1" s="22"/>
      <c r="F1" s="24"/>
      <c r="N1" s="23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38">
      <c r="A2" s="9" t="s">
        <v>21</v>
      </c>
      <c r="B2" s="15">
        <v>83269</v>
      </c>
      <c r="C2" s="33"/>
      <c r="D2" s="37"/>
      <c r="F2" s="21" t="s">
        <v>308</v>
      </c>
      <c r="G2" s="21" t="s">
        <v>309</v>
      </c>
      <c r="H2" s="21" t="s">
        <v>310</v>
      </c>
      <c r="I2" s="21" t="s">
        <v>311</v>
      </c>
      <c r="N2" s="26"/>
      <c r="X2" s="14"/>
      <c r="Y2" s="14"/>
      <c r="Z2" s="14"/>
      <c r="AA2" s="31"/>
      <c r="AB2" s="14"/>
      <c r="AC2" s="14"/>
      <c r="AD2" s="14"/>
      <c r="AE2" s="14"/>
      <c r="AF2" s="14"/>
      <c r="AG2" s="31"/>
      <c r="AH2" s="14"/>
      <c r="AI2" s="14"/>
      <c r="AJ2" s="32"/>
      <c r="AK2" s="18"/>
      <c r="AL2" s="14"/>
    </row>
    <row r="3" spans="1:38">
      <c r="A3" s="12" t="s">
        <v>21</v>
      </c>
      <c r="B3" s="16">
        <v>98185</v>
      </c>
      <c r="C3" s="22"/>
      <c r="F3" s="34">
        <v>87550</v>
      </c>
      <c r="G3" s="35">
        <v>93300</v>
      </c>
      <c r="H3" s="36">
        <v>100575</v>
      </c>
      <c r="I3" s="34">
        <v>89824</v>
      </c>
      <c r="J3" s="26"/>
      <c r="K3" s="24"/>
      <c r="L3" s="25"/>
      <c r="M3" s="25"/>
      <c r="N3" s="26"/>
      <c r="X3" s="14"/>
      <c r="Y3" s="14"/>
      <c r="Z3" s="14"/>
      <c r="AA3" s="31"/>
      <c r="AB3" s="14"/>
      <c r="AC3" s="14"/>
      <c r="AD3" s="14"/>
      <c r="AE3" s="14"/>
      <c r="AF3" s="14"/>
      <c r="AG3" s="31"/>
      <c r="AH3" s="14"/>
      <c r="AI3" s="14"/>
      <c r="AJ3" s="32"/>
      <c r="AK3" s="14"/>
      <c r="AL3" s="14"/>
    </row>
    <row r="4" spans="1:38">
      <c r="A4" s="9" t="s">
        <v>32</v>
      </c>
      <c r="B4" s="15">
        <v>63283</v>
      </c>
      <c r="C4" s="22"/>
      <c r="F4" s="24"/>
      <c r="G4" s="25"/>
      <c r="H4" s="26"/>
      <c r="I4" s="24"/>
      <c r="J4" s="25"/>
      <c r="K4" s="26"/>
      <c r="L4" s="24"/>
      <c r="M4" s="25"/>
      <c r="N4" s="26"/>
      <c r="X4" s="14"/>
      <c r="Y4" s="14"/>
      <c r="Z4" s="14"/>
      <c r="AA4" s="31"/>
      <c r="AB4" s="14"/>
      <c r="AC4" s="14"/>
      <c r="AD4" s="14"/>
      <c r="AE4" s="14"/>
      <c r="AF4" s="14"/>
      <c r="AG4" s="31"/>
      <c r="AH4" s="14"/>
      <c r="AI4" s="14"/>
      <c r="AJ4" s="32"/>
      <c r="AK4" s="18"/>
      <c r="AL4" s="14"/>
    </row>
    <row r="5" spans="1:38">
      <c r="A5" s="12" t="s">
        <v>32</v>
      </c>
      <c r="B5" s="16">
        <v>186556</v>
      </c>
      <c r="C5" s="22"/>
      <c r="F5" s="24"/>
      <c r="G5" s="25"/>
      <c r="H5" s="26"/>
      <c r="I5" s="24"/>
      <c r="J5" s="25"/>
      <c r="K5" s="26"/>
      <c r="L5" s="24"/>
      <c r="M5" s="25"/>
      <c r="N5" s="26"/>
      <c r="X5" s="14"/>
      <c r="Y5" s="14"/>
      <c r="Z5" s="14"/>
      <c r="AA5" s="31"/>
      <c r="AB5" s="14"/>
      <c r="AC5" s="14"/>
      <c r="AD5" s="14"/>
      <c r="AE5" s="14"/>
      <c r="AF5" s="14"/>
      <c r="AG5" s="31"/>
      <c r="AH5" s="14"/>
      <c r="AI5" s="14"/>
      <c r="AJ5" s="32"/>
      <c r="AK5" s="18"/>
      <c r="AL5" s="14"/>
    </row>
    <row r="6" spans="1:38">
      <c r="A6" s="9" t="s">
        <v>32</v>
      </c>
      <c r="B6" s="15">
        <v>125380</v>
      </c>
      <c r="C6" s="22"/>
      <c r="F6" s="24"/>
      <c r="G6" s="25"/>
      <c r="H6" s="26"/>
      <c r="I6" s="24"/>
      <c r="J6" s="25"/>
      <c r="K6" s="26"/>
      <c r="L6" s="24"/>
      <c r="M6" s="25"/>
      <c r="N6" s="26"/>
      <c r="X6" s="14"/>
      <c r="Y6" s="14"/>
      <c r="Z6" s="14"/>
      <c r="AA6" s="31"/>
      <c r="AB6" s="14"/>
      <c r="AC6" s="14"/>
      <c r="AD6" s="14"/>
      <c r="AE6" s="14"/>
      <c r="AF6" s="14"/>
      <c r="AG6" s="31"/>
      <c r="AH6" s="14"/>
      <c r="AI6" s="14"/>
      <c r="AJ6" s="32"/>
      <c r="AK6" s="18"/>
      <c r="AL6" s="14"/>
    </row>
    <row r="7" spans="1:38">
      <c r="A7" s="12" t="s">
        <v>46</v>
      </c>
      <c r="B7" s="16">
        <v>92650</v>
      </c>
      <c r="C7" s="22"/>
      <c r="F7" s="24"/>
      <c r="G7" s="25"/>
      <c r="H7" s="26"/>
      <c r="I7" s="24"/>
      <c r="J7" s="25"/>
      <c r="K7" s="26"/>
      <c r="L7" s="24"/>
      <c r="M7" s="25"/>
      <c r="N7" s="26"/>
      <c r="X7" s="14"/>
      <c r="Y7" s="14"/>
      <c r="Z7" s="14"/>
      <c r="AA7" s="31"/>
      <c r="AB7" s="14"/>
      <c r="AC7" s="14"/>
      <c r="AD7" s="14"/>
      <c r="AE7" s="14"/>
      <c r="AF7" s="14"/>
      <c r="AG7" s="31"/>
      <c r="AH7" s="14"/>
      <c r="AI7" s="14"/>
      <c r="AJ7" s="32"/>
      <c r="AK7" s="18"/>
      <c r="AL7" s="14"/>
    </row>
    <row r="8" spans="1:38">
      <c r="A8" s="9" t="s">
        <v>21</v>
      </c>
      <c r="B8" s="15">
        <v>70726</v>
      </c>
      <c r="C8" s="22"/>
      <c r="F8" s="24"/>
      <c r="G8" s="24"/>
      <c r="H8" s="24"/>
      <c r="I8" s="24"/>
      <c r="J8" s="25"/>
      <c r="K8" s="26"/>
      <c r="L8" s="24"/>
      <c r="M8" s="25"/>
      <c r="N8" s="26"/>
      <c r="X8" s="14"/>
      <c r="Y8" s="14"/>
      <c r="Z8" s="14"/>
      <c r="AA8" s="31"/>
      <c r="AB8" s="14"/>
      <c r="AC8" s="14"/>
      <c r="AD8" s="14"/>
      <c r="AE8" s="14"/>
      <c r="AF8" s="14"/>
      <c r="AG8" s="31"/>
      <c r="AH8" s="14"/>
      <c r="AI8" s="14"/>
      <c r="AJ8" s="32"/>
      <c r="AK8" s="18"/>
      <c r="AL8" s="14"/>
    </row>
    <row r="9" spans="1:38">
      <c r="A9" s="12" t="s">
        <v>32</v>
      </c>
      <c r="B9" s="16">
        <v>74200</v>
      </c>
      <c r="C9" s="22"/>
      <c r="F9" s="24"/>
      <c r="G9" s="24"/>
      <c r="H9" s="27"/>
      <c r="I9" s="24"/>
      <c r="J9" s="25"/>
      <c r="K9" s="26"/>
      <c r="L9" s="24"/>
      <c r="M9" s="25"/>
      <c r="N9" s="26"/>
      <c r="X9" s="14"/>
      <c r="Y9" s="14"/>
      <c r="Z9" s="14"/>
      <c r="AA9" s="31"/>
      <c r="AB9" s="14"/>
      <c r="AC9" s="14"/>
      <c r="AD9" s="14"/>
      <c r="AE9" s="14"/>
      <c r="AF9" s="14"/>
      <c r="AG9" s="31"/>
      <c r="AH9" s="14"/>
      <c r="AI9" s="14"/>
      <c r="AJ9" s="32"/>
      <c r="AK9" s="18"/>
      <c r="AL9" s="14"/>
    </row>
    <row r="10" spans="1:38">
      <c r="A10" s="9" t="s">
        <v>32</v>
      </c>
      <c r="B10" s="15">
        <v>92290</v>
      </c>
      <c r="C10" s="22"/>
      <c r="F10" s="24"/>
      <c r="G10" s="24"/>
      <c r="H10" s="24"/>
      <c r="I10" s="24"/>
      <c r="J10" s="25"/>
      <c r="K10" s="26"/>
      <c r="L10" s="24"/>
      <c r="M10" s="25"/>
      <c r="N10" s="26"/>
      <c r="X10" s="14"/>
      <c r="Y10" s="14"/>
      <c r="Z10" s="14"/>
      <c r="AA10" s="31"/>
      <c r="AB10" s="14"/>
      <c r="AC10" s="14"/>
      <c r="AD10" s="14"/>
      <c r="AE10" s="14"/>
      <c r="AF10" s="14"/>
      <c r="AG10" s="31"/>
      <c r="AH10" s="14"/>
      <c r="AI10" s="14"/>
      <c r="AJ10" s="32"/>
      <c r="AK10" s="18"/>
      <c r="AL10" s="14"/>
    </row>
    <row r="11" spans="1:38">
      <c r="A11" s="12" t="s">
        <v>32</v>
      </c>
      <c r="B11" s="16">
        <v>63283</v>
      </c>
      <c r="C11" s="22"/>
      <c r="F11" s="24"/>
      <c r="G11" s="24"/>
      <c r="H11" s="24"/>
      <c r="I11" s="24"/>
      <c r="J11" s="25"/>
      <c r="K11" s="26"/>
      <c r="L11" s="24"/>
      <c r="M11" s="25"/>
      <c r="N11" s="26"/>
      <c r="X11" s="14"/>
      <c r="Y11" s="14"/>
      <c r="Z11" s="14"/>
      <c r="AA11" s="31"/>
      <c r="AB11" s="14"/>
      <c r="AC11" s="14"/>
      <c r="AD11" s="14"/>
      <c r="AE11" s="14"/>
      <c r="AF11" s="14"/>
      <c r="AG11" s="31"/>
      <c r="AH11" s="14"/>
      <c r="AI11" s="14"/>
      <c r="AJ11" s="32"/>
      <c r="AK11" s="18"/>
      <c r="AL11" s="14"/>
    </row>
    <row r="12" spans="1:38">
      <c r="A12" s="9" t="s">
        <v>46</v>
      </c>
      <c r="B12" s="15">
        <v>97690</v>
      </c>
      <c r="C12" s="22"/>
      <c r="F12" s="24"/>
      <c r="G12" s="24"/>
      <c r="H12" s="24"/>
      <c r="I12" s="24"/>
      <c r="J12" s="25"/>
      <c r="K12" s="26"/>
      <c r="L12" s="24"/>
      <c r="M12" s="25"/>
      <c r="N12" s="26"/>
      <c r="X12" s="14"/>
      <c r="Y12" s="14"/>
      <c r="Z12" s="14"/>
      <c r="AA12" s="31"/>
      <c r="AB12" s="14"/>
      <c r="AC12" s="14"/>
      <c r="AD12" s="14"/>
      <c r="AE12" s="14"/>
      <c r="AF12" s="14"/>
      <c r="AG12" s="31"/>
      <c r="AH12" s="14"/>
      <c r="AI12" s="14"/>
      <c r="AJ12" s="32"/>
      <c r="AK12" s="14"/>
      <c r="AL12" s="14"/>
    </row>
    <row r="13" spans="1:38">
      <c r="A13" s="12" t="s">
        <v>68</v>
      </c>
      <c r="B13" s="16">
        <v>79600</v>
      </c>
      <c r="C13" s="22"/>
      <c r="F13" s="24"/>
      <c r="G13" s="24"/>
      <c r="H13" s="24"/>
      <c r="I13" s="24"/>
      <c r="J13" s="25"/>
      <c r="K13" s="26"/>
      <c r="L13" s="24"/>
      <c r="M13" s="25"/>
      <c r="N13" s="26"/>
      <c r="X13" s="14"/>
      <c r="Y13" s="14"/>
      <c r="Z13" s="14"/>
      <c r="AA13" s="31"/>
      <c r="AB13" s="14"/>
      <c r="AC13" s="14"/>
      <c r="AD13" s="14"/>
      <c r="AE13" s="14"/>
      <c r="AF13" s="14"/>
      <c r="AG13" s="31"/>
      <c r="AH13" s="14"/>
      <c r="AI13" s="14"/>
      <c r="AJ13" s="32"/>
      <c r="AK13" s="18"/>
      <c r="AL13" s="14"/>
    </row>
    <row r="14" spans="1:38">
      <c r="A14" s="9" t="s">
        <v>21</v>
      </c>
      <c r="B14" s="15">
        <v>83269</v>
      </c>
      <c r="C14" s="22"/>
      <c r="F14" s="24"/>
      <c r="G14" s="24"/>
      <c r="H14" s="24"/>
      <c r="I14" s="24"/>
      <c r="J14" s="25"/>
      <c r="K14" s="26"/>
      <c r="L14" s="24"/>
      <c r="M14" s="25"/>
      <c r="N14" s="26"/>
      <c r="X14" s="14"/>
      <c r="Y14" s="14"/>
      <c r="Z14" s="14"/>
      <c r="AA14" s="31"/>
      <c r="AB14" s="14"/>
      <c r="AC14" s="14"/>
      <c r="AD14" s="14"/>
      <c r="AE14" s="14"/>
      <c r="AF14" s="14"/>
      <c r="AG14" s="31"/>
      <c r="AH14" s="14"/>
      <c r="AI14" s="14"/>
      <c r="AJ14" s="32"/>
      <c r="AK14" s="18"/>
      <c r="AL14" s="14"/>
    </row>
    <row r="15" spans="1:38">
      <c r="A15" s="12" t="s">
        <v>21</v>
      </c>
      <c r="B15" s="16">
        <v>100420</v>
      </c>
      <c r="C15" s="22"/>
      <c r="F15" s="24"/>
      <c r="G15" s="24"/>
      <c r="H15" s="24"/>
      <c r="I15" s="24"/>
      <c r="J15" s="25"/>
      <c r="K15" s="26"/>
      <c r="L15" s="24"/>
      <c r="M15" s="25"/>
      <c r="N15" s="26"/>
      <c r="X15" s="14"/>
      <c r="Y15" s="14"/>
      <c r="Z15" s="14"/>
      <c r="AA15" s="31"/>
      <c r="AB15" s="14"/>
      <c r="AC15" s="14"/>
      <c r="AD15" s="14"/>
      <c r="AE15" s="14"/>
      <c r="AF15" s="14"/>
      <c r="AG15" s="31"/>
      <c r="AH15" s="14"/>
      <c r="AI15" s="14"/>
      <c r="AJ15" s="32"/>
      <c r="AK15" s="18"/>
      <c r="AL15" s="14"/>
    </row>
    <row r="16" spans="1:38">
      <c r="A16" s="9" t="s">
        <v>32</v>
      </c>
      <c r="B16" s="15">
        <v>79600</v>
      </c>
      <c r="C16" s="22"/>
      <c r="F16" s="24"/>
      <c r="G16" s="24"/>
      <c r="H16" s="24"/>
      <c r="I16" s="24"/>
      <c r="J16" s="25"/>
      <c r="K16" s="26"/>
      <c r="L16" s="24"/>
      <c r="M16" s="24"/>
      <c r="N16" s="24"/>
      <c r="X16" s="14"/>
      <c r="Y16" s="14"/>
      <c r="Z16" s="14"/>
      <c r="AA16" s="31"/>
      <c r="AB16" s="14"/>
      <c r="AC16" s="14"/>
      <c r="AD16" s="14"/>
      <c r="AE16" s="14"/>
      <c r="AF16" s="14"/>
      <c r="AG16" s="31"/>
      <c r="AH16" s="14"/>
      <c r="AI16" s="14"/>
      <c r="AJ16" s="32"/>
      <c r="AK16" s="18"/>
      <c r="AL16" s="14"/>
    </row>
    <row r="17" spans="1:38">
      <c r="A17" s="12" t="s">
        <v>21</v>
      </c>
      <c r="B17" s="16">
        <v>79600</v>
      </c>
      <c r="C17" s="22"/>
      <c r="F17" s="24"/>
      <c r="G17" s="24"/>
      <c r="H17" s="24"/>
      <c r="I17" s="24"/>
      <c r="J17" s="25"/>
      <c r="K17" s="26"/>
      <c r="L17" s="24"/>
      <c r="M17" s="24"/>
      <c r="N17" s="27"/>
      <c r="X17" s="14"/>
      <c r="Y17" s="14"/>
      <c r="Z17" s="14"/>
      <c r="AA17" s="31"/>
      <c r="AB17" s="14"/>
      <c r="AC17" s="14"/>
      <c r="AD17" s="14"/>
      <c r="AE17" s="14"/>
      <c r="AF17" s="14"/>
      <c r="AG17" s="31"/>
      <c r="AH17" s="14"/>
      <c r="AI17" s="14"/>
      <c r="AJ17" s="32"/>
      <c r="AK17" s="18"/>
      <c r="AL17" s="14"/>
    </row>
    <row r="18" spans="1:38">
      <c r="A18" s="9" t="s">
        <v>32</v>
      </c>
      <c r="B18" s="15">
        <v>56995</v>
      </c>
      <c r="C18" s="22"/>
      <c r="F18" s="24"/>
      <c r="G18" s="24"/>
      <c r="H18" s="24"/>
      <c r="I18" s="24"/>
      <c r="J18" s="25"/>
      <c r="K18" s="26"/>
      <c r="L18" s="24"/>
      <c r="M18" s="24"/>
      <c r="N18" s="24"/>
      <c r="X18" s="14"/>
      <c r="Y18" s="14"/>
      <c r="Z18" s="14"/>
      <c r="AA18" s="31"/>
      <c r="AB18" s="14"/>
      <c r="AC18" s="14"/>
      <c r="AD18" s="14"/>
      <c r="AE18" s="14"/>
      <c r="AF18" s="14"/>
      <c r="AG18" s="31"/>
      <c r="AH18" s="14"/>
      <c r="AI18" s="14"/>
      <c r="AJ18" s="32"/>
      <c r="AK18" s="18"/>
      <c r="AL18" s="14"/>
    </row>
    <row r="19" spans="1:38">
      <c r="A19" s="12" t="s">
        <v>87</v>
      </c>
      <c r="B19" s="16">
        <v>83200</v>
      </c>
      <c r="C19" s="22"/>
      <c r="F19" s="24"/>
      <c r="G19" s="24"/>
      <c r="H19" s="24"/>
      <c r="I19" s="24"/>
      <c r="J19" s="25"/>
      <c r="K19" s="26"/>
      <c r="L19" s="24"/>
      <c r="M19" s="24"/>
      <c r="N19" s="24"/>
      <c r="X19" s="14"/>
      <c r="Y19" s="14"/>
      <c r="Z19" s="14"/>
      <c r="AA19" s="31"/>
      <c r="AB19" s="14"/>
      <c r="AC19" s="14"/>
      <c r="AD19" s="14"/>
      <c r="AE19" s="14"/>
      <c r="AF19" s="14"/>
      <c r="AG19" s="31"/>
      <c r="AH19" s="14"/>
      <c r="AI19" s="14"/>
      <c r="AJ19" s="32"/>
      <c r="AK19" s="18"/>
      <c r="AL19" s="14"/>
    </row>
    <row r="20" spans="1:38">
      <c r="A20" s="9" t="s">
        <v>32</v>
      </c>
      <c r="B20" s="15">
        <v>127018</v>
      </c>
      <c r="C20" s="22"/>
      <c r="F20" s="24"/>
      <c r="G20" s="24"/>
      <c r="H20" s="24"/>
      <c r="I20" s="24"/>
      <c r="J20" s="25"/>
      <c r="K20" s="26"/>
      <c r="L20" s="24"/>
      <c r="M20" s="24"/>
      <c r="N20" s="24"/>
      <c r="X20" s="14"/>
      <c r="Y20" s="14"/>
      <c r="Z20" s="14"/>
      <c r="AA20" s="31"/>
      <c r="AB20" s="14"/>
      <c r="AC20" s="14"/>
      <c r="AD20" s="14"/>
      <c r="AE20" s="14"/>
      <c r="AF20" s="14"/>
      <c r="AG20" s="31"/>
      <c r="AH20" s="14"/>
      <c r="AI20" s="14"/>
      <c r="AJ20" s="32"/>
      <c r="AK20" s="18"/>
      <c r="AL20" s="14"/>
    </row>
    <row r="21" spans="1:38">
      <c r="A21" s="12" t="s">
        <v>21</v>
      </c>
      <c r="B21" s="16">
        <v>73000</v>
      </c>
      <c r="C21" s="22"/>
      <c r="F21" s="24"/>
      <c r="G21" s="24"/>
      <c r="H21" s="24"/>
      <c r="I21" s="24"/>
      <c r="J21" s="25"/>
      <c r="K21" s="26"/>
      <c r="L21" s="24"/>
      <c r="M21" s="24"/>
      <c r="N21" s="24"/>
      <c r="X21" s="14"/>
      <c r="Y21" s="14"/>
      <c r="Z21" s="14"/>
      <c r="AA21" s="31"/>
      <c r="AB21" s="14"/>
      <c r="AC21" s="14"/>
      <c r="AD21" s="14"/>
      <c r="AE21" s="14"/>
      <c r="AF21" s="14"/>
      <c r="AG21" s="31"/>
      <c r="AH21" s="14"/>
      <c r="AI21" s="14"/>
      <c r="AJ21" s="32"/>
      <c r="AK21" s="18"/>
      <c r="AL21" s="14"/>
    </row>
    <row r="22" spans="1:38">
      <c r="A22" s="9" t="s">
        <v>21</v>
      </c>
      <c r="B22" s="15">
        <v>114760</v>
      </c>
      <c r="C22" s="22"/>
      <c r="F22" s="24"/>
      <c r="G22" s="24"/>
      <c r="H22" s="24"/>
      <c r="I22" s="24"/>
      <c r="J22" s="25"/>
      <c r="K22" s="26"/>
      <c r="L22" s="24"/>
      <c r="M22" s="24"/>
      <c r="N22" s="24"/>
      <c r="X22" s="14"/>
      <c r="Y22" s="14"/>
      <c r="Z22" s="14"/>
      <c r="AA22" s="31"/>
      <c r="AB22" s="14"/>
      <c r="AC22" s="14"/>
      <c r="AD22" s="14"/>
      <c r="AE22" s="14"/>
      <c r="AF22" s="14"/>
      <c r="AG22" s="31"/>
      <c r="AH22" s="14"/>
      <c r="AI22" s="14"/>
      <c r="AJ22" s="32"/>
      <c r="AK22" s="18"/>
      <c r="AL22" s="14"/>
    </row>
    <row r="23" spans="1:38">
      <c r="A23" s="12" t="s">
        <v>21</v>
      </c>
      <c r="B23" s="16">
        <v>79600</v>
      </c>
      <c r="C23" s="22"/>
      <c r="F23" s="24"/>
      <c r="G23" s="24"/>
      <c r="H23" s="24"/>
      <c r="I23" s="24"/>
      <c r="J23" s="25"/>
      <c r="K23" s="26"/>
      <c r="L23" s="24"/>
      <c r="M23" s="24"/>
      <c r="N23" s="24"/>
      <c r="X23" s="14"/>
      <c r="Y23" s="14"/>
      <c r="Z23" s="14"/>
      <c r="AA23" s="31"/>
      <c r="AB23" s="14"/>
      <c r="AC23" s="14"/>
      <c r="AD23" s="14"/>
      <c r="AE23" s="14"/>
      <c r="AF23" s="14"/>
      <c r="AG23" s="31"/>
      <c r="AH23" s="14"/>
      <c r="AI23" s="14"/>
      <c r="AJ23" s="32"/>
      <c r="AK23" s="18"/>
      <c r="AL23" s="14"/>
    </row>
    <row r="24" spans="1:38">
      <c r="A24" s="9" t="s">
        <v>32</v>
      </c>
      <c r="B24" s="15">
        <v>125380</v>
      </c>
      <c r="C24" s="22"/>
      <c r="F24" s="24"/>
      <c r="G24" s="24"/>
      <c r="H24" s="24"/>
      <c r="I24" s="24"/>
      <c r="J24" s="25"/>
      <c r="K24" s="26"/>
      <c r="L24" s="24"/>
      <c r="M24" s="24"/>
      <c r="N24" s="24"/>
      <c r="X24" s="14"/>
      <c r="Y24" s="14"/>
      <c r="Z24" s="14"/>
      <c r="AA24" s="31"/>
      <c r="AB24" s="14"/>
      <c r="AC24" s="14"/>
      <c r="AD24" s="14"/>
      <c r="AE24" s="14"/>
      <c r="AF24" s="14"/>
      <c r="AG24" s="31"/>
      <c r="AH24" s="14"/>
      <c r="AI24" s="14"/>
      <c r="AJ24" s="32"/>
      <c r="AK24" s="18"/>
      <c r="AL24" s="14"/>
    </row>
    <row r="25" spans="1:38">
      <c r="A25" s="12" t="s">
        <v>21</v>
      </c>
      <c r="B25" s="16">
        <v>91996</v>
      </c>
      <c r="C25" s="22"/>
      <c r="F25" s="24"/>
      <c r="G25" s="24"/>
      <c r="H25" s="24"/>
      <c r="I25" s="24"/>
      <c r="J25" s="25"/>
      <c r="K25" s="26"/>
      <c r="L25" s="24"/>
      <c r="M25" s="24"/>
      <c r="N25" s="24"/>
      <c r="X25" s="14"/>
      <c r="Y25" s="14"/>
      <c r="Z25" s="14"/>
      <c r="AA25" s="31"/>
      <c r="AB25" s="14"/>
      <c r="AC25" s="14"/>
      <c r="AD25" s="14"/>
      <c r="AE25" s="14"/>
      <c r="AF25" s="14"/>
      <c r="AG25" s="31"/>
      <c r="AH25" s="14"/>
      <c r="AI25" s="14"/>
      <c r="AJ25" s="32"/>
      <c r="AK25" s="18"/>
      <c r="AL25" s="14"/>
    </row>
    <row r="26" spans="1:38">
      <c r="A26" s="9" t="s">
        <v>32</v>
      </c>
      <c r="B26" s="15">
        <v>127018</v>
      </c>
      <c r="C26" s="22"/>
      <c r="F26" s="24"/>
      <c r="G26" s="24"/>
      <c r="H26" s="24"/>
      <c r="I26" s="24"/>
      <c r="J26" s="25"/>
      <c r="K26" s="26"/>
      <c r="L26" s="24"/>
      <c r="M26" s="24"/>
      <c r="N26" s="24"/>
      <c r="X26" s="14"/>
      <c r="Y26" s="14"/>
      <c r="Z26" s="14"/>
      <c r="AA26" s="31"/>
      <c r="AB26" s="14"/>
      <c r="AC26" s="14"/>
      <c r="AD26" s="14"/>
      <c r="AE26" s="14"/>
      <c r="AF26" s="14"/>
      <c r="AG26" s="31"/>
      <c r="AH26" s="14"/>
      <c r="AI26" s="14"/>
      <c r="AJ26" s="32"/>
      <c r="AK26" s="18"/>
      <c r="AL26" s="14"/>
    </row>
    <row r="27" spans="1:38">
      <c r="A27" s="12" t="s">
        <v>32</v>
      </c>
      <c r="B27" s="16">
        <v>118900</v>
      </c>
      <c r="C27" s="22"/>
      <c r="F27" s="24"/>
      <c r="G27" s="24"/>
      <c r="H27" s="24"/>
      <c r="I27" s="24"/>
      <c r="J27" s="25"/>
      <c r="K27" s="26"/>
      <c r="L27" s="24"/>
      <c r="M27" s="24"/>
      <c r="N27" s="24"/>
      <c r="X27" s="14"/>
      <c r="Y27" s="14"/>
      <c r="Z27" s="14"/>
      <c r="AA27" s="31"/>
      <c r="AB27" s="14"/>
      <c r="AC27" s="14"/>
      <c r="AD27" s="14"/>
      <c r="AE27" s="14"/>
      <c r="AF27" s="14"/>
      <c r="AG27" s="31"/>
      <c r="AH27" s="14"/>
      <c r="AI27" s="14"/>
      <c r="AJ27" s="32"/>
      <c r="AK27" s="18"/>
      <c r="AL27" s="14"/>
    </row>
    <row r="28" spans="1:38">
      <c r="A28" s="9" t="s">
        <v>32</v>
      </c>
      <c r="B28" s="15">
        <v>105044</v>
      </c>
      <c r="C28" s="22"/>
      <c r="F28" s="24"/>
      <c r="G28" s="24"/>
      <c r="H28" s="24"/>
      <c r="I28" s="24"/>
      <c r="J28" s="25"/>
      <c r="K28" s="26"/>
      <c r="L28" s="24"/>
      <c r="M28" s="24"/>
      <c r="N28" s="24"/>
      <c r="X28" s="14"/>
      <c r="Y28" s="14"/>
      <c r="Z28" s="14"/>
      <c r="AA28" s="31"/>
      <c r="AB28" s="14"/>
      <c r="AC28" s="14"/>
      <c r="AD28" s="14"/>
      <c r="AE28" s="14"/>
      <c r="AF28" s="14"/>
      <c r="AG28" s="31"/>
      <c r="AH28" s="14"/>
      <c r="AI28" s="14"/>
      <c r="AJ28" s="32"/>
      <c r="AK28" s="14"/>
      <c r="AL28" s="14"/>
    </row>
    <row r="29" spans="1:38">
      <c r="A29" s="12" t="s">
        <v>21</v>
      </c>
      <c r="B29" s="16">
        <v>66760</v>
      </c>
      <c r="C29" s="22"/>
      <c r="F29" s="24"/>
      <c r="G29" s="24"/>
      <c r="H29" s="24"/>
      <c r="I29" s="24"/>
      <c r="J29" s="25"/>
      <c r="K29" s="26"/>
      <c r="L29" s="24"/>
      <c r="M29" s="24"/>
      <c r="N29" s="24"/>
      <c r="X29" s="14"/>
      <c r="Y29" s="14"/>
      <c r="Z29" s="14"/>
      <c r="AA29" s="31"/>
      <c r="AB29" s="14"/>
      <c r="AC29" s="14"/>
      <c r="AD29" s="14"/>
      <c r="AE29" s="14"/>
      <c r="AF29" s="14"/>
      <c r="AG29" s="31"/>
      <c r="AH29" s="14"/>
      <c r="AI29" s="14"/>
      <c r="AJ29" s="32"/>
      <c r="AK29" s="18"/>
      <c r="AL29" s="14"/>
    </row>
    <row r="30" spans="1:38">
      <c r="A30" s="9" t="s">
        <v>32</v>
      </c>
      <c r="B30" s="15">
        <v>118900</v>
      </c>
      <c r="C30" s="22"/>
      <c r="F30" s="24"/>
      <c r="G30" s="24"/>
      <c r="H30" s="24"/>
      <c r="I30" s="24"/>
      <c r="J30" s="25"/>
      <c r="K30" s="26"/>
      <c r="L30" s="24"/>
      <c r="M30" s="24"/>
      <c r="N30" s="24"/>
      <c r="X30" s="14"/>
      <c r="Y30" s="14"/>
      <c r="Z30" s="14"/>
      <c r="AA30" s="31"/>
      <c r="AB30" s="14"/>
      <c r="AC30" s="14"/>
      <c r="AD30" s="14"/>
      <c r="AE30" s="14"/>
      <c r="AF30" s="14"/>
      <c r="AG30" s="31"/>
      <c r="AH30" s="14"/>
      <c r="AI30" s="14"/>
      <c r="AJ30" s="32"/>
      <c r="AK30" s="18"/>
      <c r="AL30" s="14"/>
    </row>
    <row r="31" spans="1:38">
      <c r="A31" s="12" t="s">
        <v>21</v>
      </c>
      <c r="B31" s="16">
        <v>114760</v>
      </c>
      <c r="C31" s="22"/>
      <c r="F31" s="24"/>
      <c r="G31" s="24"/>
      <c r="H31" s="24"/>
      <c r="I31" s="24"/>
      <c r="J31" s="25"/>
      <c r="K31" s="26"/>
      <c r="L31" s="24"/>
      <c r="M31" s="24"/>
      <c r="N31" s="24"/>
      <c r="X31" s="14"/>
      <c r="Y31" s="14"/>
      <c r="Z31" s="14"/>
      <c r="AA31" s="31"/>
      <c r="AB31" s="14"/>
      <c r="AC31" s="14"/>
      <c r="AD31" s="14"/>
      <c r="AE31" s="14"/>
      <c r="AF31" s="14"/>
      <c r="AG31" s="31"/>
      <c r="AH31" s="14"/>
      <c r="AI31" s="14"/>
      <c r="AJ31" s="32"/>
      <c r="AK31" s="18"/>
      <c r="AL31" s="14"/>
    </row>
    <row r="32" spans="1:38">
      <c r="A32" s="9" t="s">
        <v>87</v>
      </c>
      <c r="B32" s="15">
        <v>83200</v>
      </c>
      <c r="C32" s="22"/>
      <c r="F32" s="24"/>
      <c r="G32" s="24"/>
      <c r="H32" s="24"/>
      <c r="I32" s="24"/>
      <c r="J32" s="25"/>
      <c r="K32" s="26"/>
      <c r="L32" s="24"/>
      <c r="M32" s="24"/>
      <c r="N32" s="24"/>
      <c r="X32" s="14"/>
      <c r="Y32" s="14"/>
      <c r="Z32" s="14"/>
      <c r="AA32" s="31"/>
      <c r="AB32" s="14"/>
      <c r="AC32" s="14"/>
      <c r="AD32" s="14"/>
      <c r="AE32" s="14"/>
      <c r="AF32" s="14"/>
      <c r="AG32" s="31"/>
      <c r="AH32" s="14"/>
      <c r="AI32" s="14"/>
      <c r="AJ32" s="32"/>
      <c r="AK32" s="18"/>
      <c r="AL32" s="14"/>
    </row>
    <row r="33" spans="1:38">
      <c r="A33" s="12" t="s">
        <v>32</v>
      </c>
      <c r="B33" s="16">
        <v>174340</v>
      </c>
      <c r="C33" s="22"/>
      <c r="F33" s="24"/>
      <c r="G33" s="24"/>
      <c r="H33" s="24"/>
      <c r="I33" s="24"/>
      <c r="J33" s="25"/>
      <c r="K33" s="26"/>
      <c r="L33" s="24"/>
      <c r="M33" s="24"/>
      <c r="N33" s="24"/>
      <c r="X33" s="14"/>
      <c r="Y33" s="14"/>
      <c r="Z33" s="14"/>
      <c r="AA33" s="31"/>
      <c r="AB33" s="14"/>
      <c r="AC33" s="14"/>
      <c r="AD33" s="14"/>
      <c r="AE33" s="14"/>
      <c r="AF33" s="14"/>
      <c r="AG33" s="31"/>
      <c r="AH33" s="14"/>
      <c r="AI33" s="14"/>
      <c r="AJ33" s="32"/>
      <c r="AK33" s="18"/>
      <c r="AL33" s="14"/>
    </row>
    <row r="34" spans="1:38">
      <c r="A34" s="9" t="s">
        <v>68</v>
      </c>
      <c r="B34" s="15">
        <v>118330</v>
      </c>
      <c r="C34" s="22"/>
      <c r="F34" s="24"/>
      <c r="G34" s="24"/>
      <c r="H34" s="24"/>
      <c r="I34" s="24"/>
      <c r="J34" s="25"/>
      <c r="K34" s="26"/>
      <c r="L34" s="24"/>
      <c r="M34" s="24"/>
      <c r="N34" s="24"/>
      <c r="X34" s="14"/>
      <c r="Y34" s="14"/>
      <c r="Z34" s="14"/>
      <c r="AA34" s="31"/>
      <c r="AB34" s="14"/>
      <c r="AC34" s="14"/>
      <c r="AD34" s="14"/>
      <c r="AE34" s="14"/>
      <c r="AF34" s="14"/>
      <c r="AG34" s="31"/>
      <c r="AH34" s="14"/>
      <c r="AI34" s="14"/>
      <c r="AJ34" s="32"/>
      <c r="AK34" s="18"/>
      <c r="AL34" s="14"/>
    </row>
    <row r="35" spans="1:38">
      <c r="A35" s="12" t="s">
        <v>32</v>
      </c>
      <c r="B35" s="16">
        <v>108976</v>
      </c>
      <c r="C35" s="22"/>
      <c r="F35" s="24"/>
      <c r="G35" s="24"/>
      <c r="H35" s="24"/>
      <c r="I35" s="24"/>
      <c r="J35" s="25"/>
      <c r="K35" s="26"/>
      <c r="L35" s="24"/>
      <c r="M35" s="24"/>
      <c r="N35" s="24"/>
      <c r="X35" s="14"/>
      <c r="Y35" s="14"/>
      <c r="Z35" s="14"/>
      <c r="AA35" s="31"/>
      <c r="AB35" s="14"/>
      <c r="AC35" s="14"/>
      <c r="AD35" s="14"/>
      <c r="AE35" s="14"/>
      <c r="AF35" s="14"/>
      <c r="AG35" s="31"/>
      <c r="AH35" s="14"/>
      <c r="AI35" s="14"/>
      <c r="AJ35" s="32"/>
      <c r="AK35" s="18"/>
      <c r="AL35" s="14"/>
    </row>
    <row r="36" spans="1:38">
      <c r="A36" s="9" t="s">
        <v>21</v>
      </c>
      <c r="B36" s="15">
        <v>80185</v>
      </c>
      <c r="C36" s="22"/>
      <c r="F36" s="24"/>
      <c r="G36" s="24"/>
      <c r="H36" s="24"/>
      <c r="I36" s="24"/>
      <c r="J36" s="25"/>
      <c r="K36" s="26"/>
      <c r="L36" s="24"/>
      <c r="M36" s="24"/>
      <c r="N36" s="24"/>
      <c r="X36" s="14"/>
      <c r="Y36" s="14"/>
      <c r="Z36" s="14"/>
      <c r="AA36" s="31"/>
      <c r="AB36" s="14"/>
      <c r="AC36" s="14"/>
      <c r="AD36" s="14"/>
      <c r="AE36" s="14"/>
      <c r="AF36" s="14"/>
      <c r="AG36" s="31"/>
      <c r="AH36" s="14"/>
      <c r="AI36" s="14"/>
      <c r="AJ36" s="32"/>
      <c r="AK36" s="18"/>
      <c r="AL36" s="14"/>
    </row>
    <row r="37" spans="1:38">
      <c r="A37" s="12" t="s">
        <v>46</v>
      </c>
      <c r="B37" s="16">
        <v>73750</v>
      </c>
      <c r="C37" s="22"/>
      <c r="F37" s="24"/>
      <c r="G37" s="24"/>
      <c r="H37" s="24"/>
      <c r="I37" s="24"/>
      <c r="J37" s="25"/>
      <c r="K37" s="26"/>
      <c r="L37" s="24"/>
      <c r="M37" s="24"/>
      <c r="N37" s="24"/>
      <c r="X37" s="14"/>
      <c r="Y37" s="14"/>
      <c r="Z37" s="14"/>
      <c r="AA37" s="31"/>
      <c r="AB37" s="14"/>
      <c r="AC37" s="14"/>
      <c r="AD37" s="14"/>
      <c r="AE37" s="14"/>
      <c r="AF37" s="14"/>
      <c r="AG37" s="31"/>
      <c r="AH37" s="14"/>
      <c r="AI37" s="14"/>
      <c r="AJ37" s="32"/>
      <c r="AK37" s="18"/>
      <c r="AL37" s="14"/>
    </row>
    <row r="38" spans="1:38">
      <c r="A38" s="9" t="s">
        <v>21</v>
      </c>
      <c r="B38" s="15">
        <v>113680</v>
      </c>
      <c r="C38" s="22"/>
      <c r="D38" s="38"/>
      <c r="F38" s="24"/>
      <c r="G38" s="24"/>
      <c r="H38" s="24"/>
      <c r="I38" s="24"/>
      <c r="J38" s="25"/>
      <c r="K38" s="26"/>
      <c r="L38" s="24"/>
      <c r="M38" s="24"/>
      <c r="N38" s="24"/>
      <c r="X38" s="14"/>
      <c r="Y38" s="14"/>
      <c r="Z38" s="14"/>
      <c r="AA38" s="31"/>
      <c r="AB38" s="14"/>
      <c r="AC38" s="14"/>
      <c r="AD38" s="14"/>
      <c r="AE38" s="14"/>
      <c r="AF38" s="14"/>
      <c r="AG38" s="31"/>
      <c r="AH38" s="14"/>
      <c r="AI38" s="14"/>
      <c r="AJ38" s="32"/>
      <c r="AK38" s="14"/>
      <c r="AL38" s="14"/>
    </row>
    <row r="39" spans="1:38">
      <c r="A39" s="12" t="s">
        <v>46</v>
      </c>
      <c r="B39" s="16">
        <v>83500</v>
      </c>
      <c r="C39" s="22"/>
      <c r="F39" s="24"/>
      <c r="G39" s="24"/>
      <c r="H39" s="24"/>
      <c r="I39" s="24"/>
      <c r="J39" s="25"/>
      <c r="K39" s="26"/>
      <c r="L39" s="24"/>
      <c r="M39" s="24"/>
      <c r="N39" s="24"/>
      <c r="X39" s="14"/>
      <c r="Y39" s="14"/>
      <c r="Z39" s="14"/>
      <c r="AA39" s="31"/>
      <c r="AB39" s="14"/>
      <c r="AC39" s="14"/>
      <c r="AD39" s="14"/>
      <c r="AE39" s="14"/>
      <c r="AF39" s="14"/>
      <c r="AG39" s="31"/>
      <c r="AH39" s="14"/>
      <c r="AI39" s="14"/>
      <c r="AJ39" s="32"/>
      <c r="AK39" s="18"/>
      <c r="AL39" s="14"/>
    </row>
    <row r="40" spans="1:38">
      <c r="A40" s="9" t="s">
        <v>21</v>
      </c>
      <c r="B40" s="15">
        <v>127900</v>
      </c>
      <c r="C40" s="22"/>
      <c r="D40" s="37"/>
      <c r="F40" s="24"/>
      <c r="G40" s="24"/>
      <c r="H40" s="24"/>
      <c r="I40" s="24"/>
      <c r="J40" s="25"/>
      <c r="K40" s="26"/>
      <c r="L40" s="24"/>
      <c r="M40" s="24"/>
      <c r="N40" s="24"/>
      <c r="X40" s="14"/>
      <c r="Y40" s="14"/>
      <c r="Z40" s="14"/>
      <c r="AA40" s="31"/>
      <c r="AB40" s="14"/>
      <c r="AC40" s="14"/>
      <c r="AD40" s="14"/>
      <c r="AE40" s="14"/>
      <c r="AF40" s="14"/>
      <c r="AG40" s="31"/>
      <c r="AH40" s="14"/>
      <c r="AI40" s="14"/>
      <c r="AJ40" s="32"/>
      <c r="AK40" s="18"/>
      <c r="AL40" s="14"/>
    </row>
    <row r="41" spans="1:38">
      <c r="A41" s="12" t="s">
        <v>21</v>
      </c>
      <c r="B41" s="16">
        <v>100420</v>
      </c>
      <c r="C41" s="22"/>
      <c r="F41" s="24"/>
      <c r="G41" s="24"/>
      <c r="H41" s="24"/>
      <c r="I41" s="24"/>
      <c r="J41" s="25"/>
      <c r="K41" s="26"/>
      <c r="L41" s="24"/>
      <c r="M41" s="24"/>
      <c r="N41" s="24"/>
      <c r="X41" s="14"/>
      <c r="Y41" s="14"/>
      <c r="Z41" s="14"/>
      <c r="AA41" s="31"/>
      <c r="AB41" s="14"/>
      <c r="AC41" s="14"/>
      <c r="AD41" s="14"/>
      <c r="AE41" s="14"/>
      <c r="AF41" s="14"/>
      <c r="AG41" s="31"/>
      <c r="AH41" s="14"/>
      <c r="AI41" s="14"/>
      <c r="AJ41" s="32"/>
      <c r="AK41" s="18"/>
      <c r="AL41" s="14"/>
    </row>
    <row r="42" spans="1:38">
      <c r="A42" s="9" t="s">
        <v>149</v>
      </c>
      <c r="B42" s="15">
        <v>58990</v>
      </c>
      <c r="C42" s="22"/>
      <c r="F42" s="24"/>
      <c r="G42" s="24"/>
      <c r="H42" s="24"/>
      <c r="I42" s="24"/>
      <c r="J42" s="25"/>
      <c r="K42" s="26"/>
      <c r="L42" s="24"/>
      <c r="M42" s="24"/>
      <c r="N42" s="24"/>
      <c r="X42" s="14"/>
      <c r="Y42" s="14"/>
      <c r="Z42" s="14"/>
      <c r="AA42" s="31"/>
      <c r="AB42" s="14"/>
      <c r="AC42" s="14"/>
      <c r="AD42" s="14"/>
      <c r="AE42" s="14"/>
      <c r="AF42" s="14"/>
      <c r="AG42" s="31"/>
      <c r="AH42" s="14"/>
      <c r="AI42" s="14"/>
      <c r="AJ42" s="32"/>
      <c r="AK42" s="18"/>
      <c r="AL42" s="14"/>
    </row>
    <row r="43" spans="1:38">
      <c r="A43" s="12" t="s">
        <v>32</v>
      </c>
      <c r="B43" s="16">
        <v>73720</v>
      </c>
      <c r="C43" s="22"/>
      <c r="F43" s="24"/>
      <c r="G43" s="24"/>
      <c r="H43" s="24"/>
      <c r="I43" s="24"/>
      <c r="J43" s="25"/>
      <c r="K43" s="26"/>
      <c r="L43" s="24"/>
      <c r="M43" s="24"/>
      <c r="N43" s="24"/>
      <c r="X43" s="14"/>
      <c r="Y43" s="14"/>
      <c r="Z43" s="14"/>
      <c r="AA43" s="31"/>
      <c r="AB43" s="14"/>
      <c r="AC43" s="14"/>
      <c r="AD43" s="14"/>
      <c r="AE43" s="14"/>
      <c r="AF43" s="14"/>
      <c r="AG43" s="31"/>
      <c r="AH43" s="14"/>
      <c r="AI43" s="14"/>
      <c r="AJ43" s="32"/>
      <c r="AK43" s="18"/>
      <c r="AL43" s="14"/>
    </row>
    <row r="44" spans="1:38">
      <c r="A44" s="9" t="s">
        <v>32</v>
      </c>
      <c r="B44" s="15">
        <v>63130</v>
      </c>
      <c r="C44" s="22"/>
      <c r="F44" s="24"/>
      <c r="G44" s="24"/>
      <c r="H44" s="24"/>
      <c r="I44" s="24"/>
      <c r="J44" s="25"/>
      <c r="K44" s="26"/>
      <c r="L44" s="24"/>
      <c r="M44" s="24"/>
      <c r="N44" s="24"/>
      <c r="X44" s="14"/>
      <c r="Y44" s="14"/>
      <c r="Z44" s="14"/>
      <c r="AA44" s="31"/>
      <c r="AB44" s="14"/>
      <c r="AC44" s="14"/>
      <c r="AD44" s="14"/>
      <c r="AE44" s="14"/>
      <c r="AF44" s="14"/>
      <c r="AG44" s="31"/>
      <c r="AH44" s="14"/>
      <c r="AI44" s="14"/>
      <c r="AJ44" s="32"/>
      <c r="AK44" s="18"/>
      <c r="AL44" s="14"/>
    </row>
    <row r="45" spans="1:38">
      <c r="A45" s="12" t="s">
        <v>32</v>
      </c>
      <c r="B45" s="16">
        <v>73720</v>
      </c>
      <c r="C45" s="22"/>
      <c r="F45" s="24"/>
      <c r="G45" s="24"/>
      <c r="H45" s="24"/>
      <c r="I45" s="24"/>
      <c r="J45" s="25"/>
      <c r="K45" s="26"/>
      <c r="L45" s="24"/>
      <c r="M45" s="24"/>
      <c r="N45" s="24"/>
      <c r="X45" s="14"/>
      <c r="Y45" s="14"/>
      <c r="Z45" s="14"/>
      <c r="AA45" s="31"/>
      <c r="AB45" s="14"/>
      <c r="AC45" s="14"/>
      <c r="AD45" s="14"/>
      <c r="AE45" s="14"/>
      <c r="AF45" s="14"/>
      <c r="AG45" s="31"/>
      <c r="AH45" s="14"/>
      <c r="AI45" s="14"/>
      <c r="AJ45" s="32"/>
      <c r="AK45" s="18"/>
      <c r="AL45" s="14"/>
    </row>
    <row r="46" spans="1:38">
      <c r="A46" s="9" t="s">
        <v>32</v>
      </c>
      <c r="B46" s="15">
        <v>136000</v>
      </c>
      <c r="C46" s="22"/>
      <c r="F46" s="24"/>
      <c r="G46" s="24"/>
      <c r="H46" s="24"/>
      <c r="I46" s="24"/>
      <c r="J46" s="25"/>
      <c r="K46" s="26"/>
      <c r="L46" s="24"/>
      <c r="M46" s="24"/>
      <c r="N46" s="24"/>
      <c r="X46" s="14"/>
      <c r="Y46" s="14"/>
      <c r="Z46" s="14"/>
      <c r="AA46" s="31"/>
      <c r="AB46" s="14"/>
      <c r="AC46" s="14"/>
      <c r="AD46" s="14"/>
      <c r="AE46" s="14"/>
      <c r="AF46" s="14"/>
      <c r="AG46" s="31"/>
      <c r="AH46" s="14"/>
      <c r="AI46" s="14"/>
      <c r="AJ46" s="32"/>
      <c r="AK46" s="18"/>
      <c r="AL46" s="14"/>
    </row>
    <row r="47" spans="1:38">
      <c r="A47" s="12" t="s">
        <v>32</v>
      </c>
      <c r="B47" s="16">
        <v>103240</v>
      </c>
      <c r="C47" s="22"/>
      <c r="F47" s="24"/>
      <c r="G47" s="24"/>
      <c r="H47" s="24"/>
      <c r="I47" s="24"/>
      <c r="J47" s="25"/>
      <c r="K47" s="26"/>
      <c r="L47" s="24"/>
      <c r="M47" s="24"/>
      <c r="N47" s="24"/>
      <c r="X47" s="14"/>
      <c r="Y47" s="14"/>
      <c r="Z47" s="14"/>
      <c r="AA47" s="31"/>
      <c r="AB47" s="14"/>
      <c r="AC47" s="14"/>
      <c r="AD47" s="14"/>
      <c r="AE47" s="14"/>
      <c r="AF47" s="14"/>
      <c r="AG47" s="31"/>
      <c r="AH47" s="14"/>
      <c r="AI47" s="14"/>
      <c r="AJ47" s="32"/>
      <c r="AK47" s="18"/>
      <c r="AL47" s="14"/>
    </row>
    <row r="48" spans="1:38">
      <c r="A48" s="9" t="s">
        <v>46</v>
      </c>
      <c r="B48" s="15">
        <v>73750</v>
      </c>
      <c r="C48" s="22"/>
      <c r="F48" s="24"/>
      <c r="G48" s="24"/>
      <c r="H48" s="24"/>
      <c r="I48" s="24"/>
      <c r="J48" s="25"/>
      <c r="K48" s="26"/>
      <c r="L48" s="24"/>
      <c r="M48" s="24"/>
      <c r="N48" s="24"/>
      <c r="X48" s="14"/>
      <c r="Y48" s="14"/>
      <c r="Z48" s="14"/>
      <c r="AA48" s="31"/>
      <c r="AB48" s="14"/>
      <c r="AC48" s="14"/>
      <c r="AD48" s="14"/>
      <c r="AE48" s="14"/>
      <c r="AF48" s="14"/>
      <c r="AG48" s="31"/>
      <c r="AH48" s="14"/>
      <c r="AI48" s="14"/>
      <c r="AJ48" s="32"/>
      <c r="AK48" s="18"/>
      <c r="AL48" s="14"/>
    </row>
    <row r="49" spans="1:38">
      <c r="A49" s="12" t="s">
        <v>21</v>
      </c>
      <c r="B49" s="16">
        <v>113680</v>
      </c>
      <c r="C49" s="22"/>
      <c r="F49" s="24"/>
      <c r="G49" s="24"/>
      <c r="H49" s="24"/>
      <c r="I49" s="24"/>
      <c r="J49" s="25"/>
      <c r="K49" s="26"/>
      <c r="L49" s="24"/>
      <c r="M49" s="24"/>
      <c r="N49" s="24"/>
      <c r="X49" s="14"/>
      <c r="Y49" s="14"/>
      <c r="Z49" s="14"/>
      <c r="AA49" s="31"/>
      <c r="AB49" s="14"/>
      <c r="AC49" s="14"/>
      <c r="AD49" s="14"/>
      <c r="AE49" s="14"/>
      <c r="AF49" s="14"/>
      <c r="AG49" s="31"/>
      <c r="AH49" s="14"/>
      <c r="AI49" s="14"/>
      <c r="AJ49" s="32"/>
      <c r="AK49" s="14"/>
      <c r="AL49" s="14"/>
    </row>
    <row r="50" spans="1:38">
      <c r="A50" s="9" t="s">
        <v>32</v>
      </c>
      <c r="B50" s="15">
        <v>103240</v>
      </c>
      <c r="C50" s="22"/>
      <c r="F50" s="24"/>
      <c r="G50" s="24"/>
      <c r="H50" s="24"/>
      <c r="I50" s="24"/>
      <c r="J50" s="25"/>
      <c r="K50" s="26"/>
      <c r="L50" s="24"/>
      <c r="M50" s="24"/>
      <c r="N50" s="24"/>
      <c r="X50" s="14"/>
      <c r="Y50" s="14"/>
      <c r="Z50" s="14"/>
      <c r="AA50" s="31"/>
      <c r="AB50" s="14"/>
      <c r="AC50" s="14"/>
      <c r="AD50" s="14"/>
      <c r="AE50" s="14"/>
      <c r="AF50" s="14"/>
      <c r="AG50" s="31"/>
      <c r="AH50" s="14"/>
      <c r="AI50" s="14"/>
      <c r="AJ50" s="32"/>
      <c r="AK50" s="18"/>
      <c r="AL50" s="14"/>
    </row>
    <row r="51" spans="1:38">
      <c r="A51" s="12" t="s">
        <v>68</v>
      </c>
      <c r="B51" s="16">
        <v>66700</v>
      </c>
      <c r="C51" s="22"/>
      <c r="F51" s="24"/>
      <c r="G51" s="24"/>
      <c r="H51" s="24"/>
      <c r="I51" s="24"/>
      <c r="J51" s="25"/>
      <c r="K51" s="26"/>
      <c r="L51" s="24"/>
      <c r="M51" s="24"/>
      <c r="N51" s="24"/>
      <c r="X51" s="14"/>
      <c r="Y51" s="14"/>
      <c r="Z51" s="14"/>
      <c r="AA51" s="31"/>
      <c r="AB51" s="14"/>
      <c r="AC51" s="14"/>
      <c r="AD51" s="14"/>
      <c r="AE51" s="14"/>
      <c r="AF51" s="14"/>
      <c r="AG51" s="31"/>
      <c r="AH51" s="14"/>
      <c r="AI51" s="14"/>
      <c r="AJ51" s="32"/>
      <c r="AK51" s="18"/>
      <c r="AL51" s="14"/>
    </row>
    <row r="52" spans="1:38">
      <c r="A52" s="9" t="s">
        <v>21</v>
      </c>
      <c r="B52" s="15">
        <v>86500</v>
      </c>
      <c r="C52" s="22"/>
      <c r="F52" s="24"/>
      <c r="G52" s="24"/>
      <c r="H52" s="24"/>
      <c r="I52" s="24"/>
      <c r="J52" s="25"/>
      <c r="K52" s="26"/>
      <c r="L52" s="24"/>
      <c r="M52" s="24"/>
      <c r="N52" s="24"/>
      <c r="X52" s="14"/>
      <c r="Y52" s="14"/>
      <c r="Z52" s="14"/>
      <c r="AA52" s="31"/>
      <c r="AB52" s="14"/>
      <c r="AC52" s="14"/>
      <c r="AD52" s="14"/>
      <c r="AE52" s="14"/>
      <c r="AF52" s="14"/>
      <c r="AG52" s="31"/>
      <c r="AH52" s="14"/>
      <c r="AI52" s="14"/>
      <c r="AJ52" s="32"/>
      <c r="AK52" s="18"/>
      <c r="AL52" s="14"/>
    </row>
    <row r="53" spans="1:38">
      <c r="A53" s="12" t="s">
        <v>46</v>
      </c>
      <c r="B53" s="16">
        <v>83500</v>
      </c>
      <c r="C53" s="22"/>
      <c r="F53" s="24"/>
      <c r="G53" s="24"/>
      <c r="H53" s="24"/>
      <c r="I53" s="24"/>
      <c r="J53" s="25"/>
      <c r="K53" s="26"/>
      <c r="L53" s="24"/>
      <c r="M53" s="24"/>
      <c r="N53" s="24"/>
      <c r="X53" s="14"/>
      <c r="Y53" s="14"/>
      <c r="Z53" s="14"/>
      <c r="AA53" s="31"/>
      <c r="AB53" s="14"/>
      <c r="AC53" s="14"/>
      <c r="AD53" s="14"/>
      <c r="AE53" s="14"/>
      <c r="AF53" s="14"/>
      <c r="AG53" s="31"/>
      <c r="AH53" s="14"/>
      <c r="AI53" s="14"/>
      <c r="AJ53" s="32"/>
      <c r="AK53" s="14"/>
      <c r="AL53" s="14"/>
    </row>
    <row r="54" spans="1:38">
      <c r="A54" s="9" t="s">
        <v>46</v>
      </c>
      <c r="B54" s="15">
        <v>92650</v>
      </c>
      <c r="C54" s="22"/>
      <c r="F54" s="24"/>
      <c r="G54" s="24"/>
      <c r="H54" s="24"/>
      <c r="I54" s="24"/>
      <c r="J54" s="25"/>
      <c r="K54" s="26"/>
      <c r="L54" s="24"/>
      <c r="M54" s="24"/>
      <c r="N54" s="24"/>
      <c r="X54" s="14"/>
      <c r="Y54" s="14"/>
      <c r="Z54" s="14"/>
      <c r="AA54" s="31"/>
      <c r="AB54" s="14"/>
      <c r="AC54" s="14"/>
      <c r="AD54" s="14"/>
      <c r="AE54" s="14"/>
      <c r="AF54" s="14"/>
      <c r="AG54" s="31"/>
      <c r="AH54" s="14"/>
      <c r="AI54" s="14"/>
      <c r="AJ54" s="32"/>
      <c r="AK54" s="18"/>
      <c r="AL54" s="14"/>
    </row>
    <row r="55" spans="1:38">
      <c r="A55" s="12" t="s">
        <v>21</v>
      </c>
      <c r="B55" s="16">
        <v>73000</v>
      </c>
      <c r="F55" s="24"/>
      <c r="G55" s="24"/>
      <c r="H55" s="24"/>
      <c r="I55" s="24"/>
      <c r="J55" s="25"/>
      <c r="K55" s="26"/>
      <c r="L55" s="24"/>
      <c r="M55" s="24"/>
      <c r="N55" s="24"/>
      <c r="X55" s="14"/>
      <c r="Y55" s="14"/>
      <c r="Z55" s="14"/>
      <c r="AA55" s="31"/>
      <c r="AB55" s="14"/>
      <c r="AC55" s="14"/>
      <c r="AD55" s="14"/>
      <c r="AE55" s="14"/>
      <c r="AF55" s="14"/>
      <c r="AG55" s="31"/>
      <c r="AH55" s="14"/>
      <c r="AI55" s="14"/>
      <c r="AJ55" s="32"/>
      <c r="AK55" s="18"/>
      <c r="AL55" s="14"/>
    </row>
    <row r="56" spans="1:38">
      <c r="A56" s="9" t="s">
        <v>32</v>
      </c>
      <c r="B56" s="15">
        <v>75400</v>
      </c>
      <c r="C56" s="22"/>
      <c r="F56" s="24"/>
      <c r="G56" s="24"/>
      <c r="H56" s="24"/>
      <c r="I56" s="24"/>
      <c r="J56" s="25"/>
      <c r="K56" s="26"/>
      <c r="L56" s="24"/>
      <c r="M56" s="24"/>
      <c r="N56" s="24"/>
      <c r="X56" s="14"/>
      <c r="Y56" s="14"/>
      <c r="Z56" s="14"/>
      <c r="AA56" s="31"/>
      <c r="AB56" s="14"/>
      <c r="AC56" s="14"/>
      <c r="AD56" s="14"/>
      <c r="AE56" s="14"/>
      <c r="AF56" s="14"/>
      <c r="AG56" s="31"/>
      <c r="AH56" s="14"/>
      <c r="AI56" s="14"/>
      <c r="AJ56" s="32"/>
      <c r="AK56" s="18"/>
      <c r="AL56" s="14"/>
    </row>
    <row r="57" spans="1:38">
      <c r="A57" s="12" t="s">
        <v>32</v>
      </c>
      <c r="B57" s="16">
        <v>186556</v>
      </c>
      <c r="C57" s="22"/>
      <c r="F57" s="24"/>
      <c r="G57" s="24"/>
      <c r="H57" s="24"/>
      <c r="I57" s="24"/>
      <c r="J57" s="25"/>
      <c r="K57" s="26"/>
      <c r="L57" s="24"/>
      <c r="M57" s="24"/>
      <c r="N57" s="24"/>
      <c r="X57" s="14"/>
      <c r="Y57" s="14"/>
      <c r="Z57" s="14"/>
      <c r="AA57" s="31"/>
      <c r="AB57" s="14"/>
      <c r="AC57" s="14"/>
      <c r="AD57" s="14"/>
      <c r="AE57" s="14"/>
      <c r="AF57" s="14"/>
      <c r="AG57" s="31"/>
      <c r="AH57" s="14"/>
      <c r="AI57" s="14"/>
      <c r="AJ57" s="32"/>
      <c r="AK57" s="18"/>
      <c r="AL57" s="14"/>
    </row>
    <row r="58" spans="1:38">
      <c r="A58" s="9" t="s">
        <v>32</v>
      </c>
      <c r="B58" s="15">
        <v>94720</v>
      </c>
      <c r="C58" s="22"/>
      <c r="F58" s="24"/>
      <c r="G58" s="24"/>
      <c r="H58" s="24"/>
      <c r="I58" s="24"/>
      <c r="J58" s="25"/>
      <c r="K58" s="26"/>
      <c r="L58" s="24"/>
      <c r="M58" s="24"/>
      <c r="N58" s="24"/>
      <c r="X58" s="14"/>
      <c r="Y58" s="14"/>
      <c r="Z58" s="14"/>
      <c r="AA58" s="31"/>
      <c r="AB58" s="14"/>
      <c r="AC58" s="14"/>
      <c r="AD58" s="14"/>
      <c r="AE58" s="14"/>
      <c r="AF58" s="14"/>
      <c r="AG58" s="31"/>
      <c r="AH58" s="14"/>
      <c r="AI58" s="14"/>
      <c r="AJ58" s="32"/>
      <c r="AK58" s="18"/>
      <c r="AL58" s="14"/>
    </row>
    <row r="59" spans="1:38">
      <c r="A59" s="12" t="s">
        <v>68</v>
      </c>
      <c r="B59" s="16">
        <v>154780</v>
      </c>
      <c r="C59" s="22"/>
      <c r="F59" s="24"/>
      <c r="G59" s="24"/>
      <c r="H59" s="24"/>
      <c r="I59" s="24"/>
      <c r="J59" s="24"/>
      <c r="K59" s="24"/>
      <c r="L59" s="24"/>
      <c r="M59" s="24"/>
      <c r="N59" s="24"/>
      <c r="X59" s="14"/>
      <c r="Y59" s="14"/>
      <c r="Z59" s="14"/>
      <c r="AA59" s="31"/>
      <c r="AB59" s="14"/>
      <c r="AC59" s="14"/>
      <c r="AD59" s="14"/>
      <c r="AE59" s="14"/>
      <c r="AF59" s="14"/>
      <c r="AG59" s="31"/>
      <c r="AH59" s="14"/>
      <c r="AI59" s="14"/>
      <c r="AJ59" s="32"/>
      <c r="AK59" s="18"/>
      <c r="AL59" s="14"/>
    </row>
    <row r="60" spans="1:38">
      <c r="A60" s="9" t="s">
        <v>32</v>
      </c>
      <c r="B60" s="15">
        <v>83074</v>
      </c>
      <c r="C60" s="22"/>
      <c r="F60" s="28"/>
      <c r="G60" s="28"/>
      <c r="H60" s="28"/>
      <c r="I60" s="28"/>
      <c r="J60" s="28"/>
      <c r="K60" s="29"/>
      <c r="L60" s="28"/>
      <c r="M60" s="28"/>
      <c r="N60" s="28"/>
      <c r="X60" s="14"/>
      <c r="Y60" s="14"/>
      <c r="Z60" s="14"/>
      <c r="AA60" s="31"/>
      <c r="AB60" s="14"/>
      <c r="AC60" s="14"/>
      <c r="AD60" s="14"/>
      <c r="AE60" s="14"/>
      <c r="AF60" s="14"/>
      <c r="AG60" s="31"/>
      <c r="AH60" s="14"/>
      <c r="AI60" s="14"/>
      <c r="AJ60" s="32"/>
      <c r="AK60" s="18"/>
      <c r="AL60" s="14"/>
    </row>
    <row r="61" spans="1:38">
      <c r="A61" s="12" t="s">
        <v>32</v>
      </c>
      <c r="B61" s="16">
        <v>63130</v>
      </c>
      <c r="X61" s="14"/>
      <c r="Y61" s="14"/>
      <c r="Z61" s="14"/>
      <c r="AA61" s="31"/>
      <c r="AB61" s="14"/>
      <c r="AC61" s="14"/>
      <c r="AD61" s="14"/>
      <c r="AE61" s="14"/>
      <c r="AF61" s="14"/>
      <c r="AG61" s="31"/>
      <c r="AH61" s="14"/>
      <c r="AI61" s="14"/>
      <c r="AJ61" s="32"/>
      <c r="AK61" s="18"/>
      <c r="AL61" s="14"/>
    </row>
    <row r="62" spans="1:38">
      <c r="A62" s="9" t="s">
        <v>32</v>
      </c>
      <c r="B62" s="15">
        <v>94729</v>
      </c>
      <c r="X62" s="14"/>
      <c r="Y62" s="14"/>
      <c r="Z62" s="14"/>
      <c r="AA62" s="31"/>
      <c r="AB62" s="14"/>
      <c r="AC62" s="14"/>
      <c r="AD62" s="14"/>
      <c r="AE62" s="14"/>
      <c r="AF62" s="14"/>
      <c r="AG62" s="31"/>
      <c r="AH62" s="14"/>
      <c r="AI62" s="14"/>
      <c r="AJ62" s="32"/>
      <c r="AK62" s="18"/>
      <c r="AL62" s="14"/>
    </row>
    <row r="63" spans="1:38">
      <c r="A63" s="12" t="s">
        <v>46</v>
      </c>
      <c r="B63" s="16">
        <v>97690</v>
      </c>
      <c r="X63" s="14"/>
      <c r="Y63" s="14"/>
      <c r="Z63" s="14"/>
      <c r="AA63" s="31"/>
      <c r="AB63" s="14"/>
      <c r="AC63" s="14"/>
      <c r="AD63" s="14"/>
      <c r="AE63" s="14"/>
      <c r="AF63" s="14"/>
      <c r="AG63" s="31"/>
      <c r="AH63" s="14"/>
      <c r="AI63" s="14"/>
      <c r="AJ63" s="32"/>
      <c r="AK63" s="18"/>
      <c r="AL63" s="14"/>
    </row>
    <row r="64" spans="1:38">
      <c r="A64" s="9" t="s">
        <v>21</v>
      </c>
      <c r="B64" s="15">
        <v>51940</v>
      </c>
      <c r="X64" s="14"/>
      <c r="Y64" s="14"/>
      <c r="Z64" s="14"/>
      <c r="AA64" s="31"/>
      <c r="AB64" s="14"/>
      <c r="AC64" s="14"/>
      <c r="AD64" s="14"/>
      <c r="AE64" s="14"/>
      <c r="AF64" s="14"/>
      <c r="AG64" s="31"/>
      <c r="AH64" s="14"/>
      <c r="AI64" s="14"/>
      <c r="AJ64" s="32"/>
      <c r="AK64" s="14"/>
      <c r="AL64" s="14"/>
    </row>
    <row r="65" spans="1:38">
      <c r="A65" s="12" t="s">
        <v>32</v>
      </c>
      <c r="B65" s="16">
        <v>56995</v>
      </c>
      <c r="X65" s="14"/>
      <c r="Y65" s="14"/>
      <c r="Z65" s="14"/>
      <c r="AA65" s="31"/>
      <c r="AB65" s="14"/>
      <c r="AC65" s="14"/>
      <c r="AD65" s="14"/>
      <c r="AE65" s="14"/>
      <c r="AF65" s="14"/>
      <c r="AG65" s="31"/>
      <c r="AH65" s="14"/>
      <c r="AI65" s="14"/>
      <c r="AJ65" s="32"/>
      <c r="AK65" s="18"/>
      <c r="AL65" s="14"/>
    </row>
    <row r="66" spans="1:38">
      <c r="A66" s="9" t="s">
        <v>32</v>
      </c>
      <c r="B66" s="15">
        <v>62920</v>
      </c>
      <c r="X66" s="14"/>
      <c r="Y66" s="14"/>
      <c r="Z66" s="14"/>
      <c r="AA66" s="31"/>
      <c r="AB66" s="14"/>
      <c r="AC66" s="14"/>
      <c r="AD66" s="14"/>
      <c r="AE66" s="14"/>
      <c r="AF66" s="14"/>
      <c r="AG66" s="31"/>
      <c r="AH66" s="14"/>
      <c r="AI66" s="14"/>
      <c r="AJ66" s="32"/>
      <c r="AK66" s="18"/>
      <c r="AL66" s="14"/>
    </row>
    <row r="67" spans="1:38">
      <c r="A67" s="12" t="s">
        <v>21</v>
      </c>
      <c r="B67" s="16">
        <v>124822</v>
      </c>
      <c r="X67" s="14"/>
      <c r="Y67" s="14"/>
      <c r="Z67" s="14"/>
      <c r="AA67" s="31"/>
      <c r="AB67" s="14"/>
      <c r="AC67" s="14"/>
      <c r="AD67" s="14"/>
      <c r="AE67" s="14"/>
      <c r="AF67" s="14"/>
      <c r="AG67" s="31"/>
      <c r="AH67" s="14"/>
      <c r="AI67" s="14"/>
      <c r="AJ67" s="32"/>
      <c r="AK67" s="18"/>
      <c r="AL67" s="14"/>
    </row>
    <row r="68" spans="1:38">
      <c r="A68" s="9" t="s">
        <v>32</v>
      </c>
      <c r="B68" s="15">
        <v>62920</v>
      </c>
      <c r="X68" s="14"/>
      <c r="Y68" s="14"/>
      <c r="Z68" s="14"/>
      <c r="AA68" s="31"/>
      <c r="AB68" s="14"/>
      <c r="AC68" s="14"/>
      <c r="AD68" s="14"/>
      <c r="AE68" s="14"/>
      <c r="AF68" s="14"/>
      <c r="AG68" s="31"/>
      <c r="AH68" s="14"/>
      <c r="AI68" s="14"/>
      <c r="AJ68" s="32"/>
      <c r="AK68" s="18"/>
      <c r="AL68" s="14"/>
    </row>
    <row r="69" spans="1:38">
      <c r="A69" s="12" t="s">
        <v>149</v>
      </c>
      <c r="B69" s="16">
        <v>148864</v>
      </c>
      <c r="X69" s="14"/>
      <c r="Y69" s="14"/>
      <c r="Z69" s="14"/>
      <c r="AA69" s="31"/>
      <c r="AB69" s="14"/>
      <c r="AC69" s="14"/>
      <c r="AD69" s="14"/>
      <c r="AE69" s="14"/>
      <c r="AF69" s="14"/>
      <c r="AG69" s="31"/>
      <c r="AH69" s="14"/>
      <c r="AI69" s="14"/>
      <c r="AJ69" s="32"/>
      <c r="AK69" s="18"/>
      <c r="AL69" s="14"/>
    </row>
    <row r="70" spans="1:38">
      <c r="A70" s="9" t="s">
        <v>46</v>
      </c>
      <c r="B70" s="15">
        <v>76018</v>
      </c>
      <c r="X70" s="14"/>
      <c r="Y70" s="14"/>
      <c r="Z70" s="14"/>
      <c r="AA70" s="31"/>
      <c r="AB70" s="14"/>
      <c r="AC70" s="14"/>
      <c r="AD70" s="14"/>
      <c r="AE70" s="14"/>
      <c r="AF70" s="14"/>
      <c r="AG70" s="31"/>
      <c r="AH70" s="14"/>
      <c r="AI70" s="14"/>
      <c r="AJ70" s="32"/>
      <c r="AK70" s="18"/>
      <c r="AL70" s="14"/>
    </row>
    <row r="71" spans="1:38">
      <c r="A71" s="12" t="s">
        <v>32</v>
      </c>
      <c r="B71" s="16">
        <v>120250</v>
      </c>
      <c r="X71" s="14"/>
      <c r="Y71" s="14"/>
      <c r="Z71" s="14"/>
      <c r="AA71" s="31"/>
      <c r="AB71" s="14"/>
      <c r="AC71" s="14"/>
      <c r="AD71" s="14"/>
      <c r="AE71" s="14"/>
      <c r="AF71" s="14"/>
      <c r="AG71" s="31"/>
      <c r="AH71" s="14"/>
      <c r="AI71" s="14"/>
      <c r="AJ71" s="32"/>
      <c r="AK71" s="18"/>
      <c r="AL71" s="14"/>
    </row>
    <row r="72" spans="1:38">
      <c r="A72" s="9" t="s">
        <v>21</v>
      </c>
      <c r="B72" s="15">
        <v>86500</v>
      </c>
      <c r="X72" s="14"/>
      <c r="Y72" s="14"/>
      <c r="Z72" s="14"/>
      <c r="AA72" s="31"/>
      <c r="AB72" s="14"/>
      <c r="AC72" s="14"/>
      <c r="AD72" s="14"/>
      <c r="AE72" s="14"/>
      <c r="AF72" s="14"/>
      <c r="AG72" s="31"/>
      <c r="AH72" s="14"/>
      <c r="AI72" s="14"/>
      <c r="AJ72" s="32"/>
      <c r="AK72" s="18"/>
      <c r="AL72" s="14"/>
    </row>
    <row r="73" spans="1:38">
      <c r="A73" s="12" t="s">
        <v>32</v>
      </c>
      <c r="B73" s="16">
        <v>108976</v>
      </c>
      <c r="X73" s="14"/>
      <c r="Y73" s="14"/>
      <c r="Z73" s="14"/>
      <c r="AA73" s="31"/>
      <c r="AB73" s="14"/>
      <c r="AC73" s="14"/>
      <c r="AD73" s="14"/>
      <c r="AE73" s="14"/>
      <c r="AF73" s="14"/>
      <c r="AG73" s="31"/>
      <c r="AH73" s="14"/>
      <c r="AI73" s="14"/>
      <c r="AJ73" s="32"/>
      <c r="AK73" s="18"/>
      <c r="AL73" s="14"/>
    </row>
    <row r="74" spans="1:38">
      <c r="A74" s="9" t="s">
        <v>46</v>
      </c>
      <c r="B74" s="15">
        <v>88726</v>
      </c>
      <c r="X74" s="14"/>
      <c r="Y74" s="14"/>
      <c r="Z74" s="14"/>
      <c r="AA74" s="31"/>
      <c r="AB74" s="14"/>
      <c r="AC74" s="14"/>
      <c r="AD74" s="14"/>
      <c r="AE74" s="14"/>
      <c r="AF74" s="14"/>
      <c r="AG74" s="31"/>
      <c r="AH74" s="14"/>
      <c r="AI74" s="14"/>
      <c r="AJ74" s="32"/>
      <c r="AK74" s="18"/>
      <c r="AL74" s="14"/>
    </row>
    <row r="75" spans="1:38">
      <c r="A75" s="12" t="s">
        <v>87</v>
      </c>
      <c r="B75" s="16">
        <v>120100</v>
      </c>
      <c r="X75" s="14"/>
      <c r="Y75" s="14"/>
      <c r="Z75" s="14"/>
      <c r="AA75" s="31"/>
      <c r="AB75" s="14"/>
      <c r="AC75" s="14"/>
      <c r="AD75" s="14"/>
      <c r="AE75" s="14"/>
      <c r="AF75" s="14"/>
      <c r="AG75" s="31"/>
      <c r="AH75" s="14"/>
      <c r="AI75" s="14"/>
      <c r="AJ75" s="32"/>
      <c r="AK75" s="18"/>
      <c r="AL75" s="14"/>
    </row>
    <row r="76" spans="1:38">
      <c r="A76" s="9" t="s">
        <v>46</v>
      </c>
      <c r="B76" s="15">
        <v>116440</v>
      </c>
      <c r="X76" s="14"/>
      <c r="Y76" s="14"/>
      <c r="Z76" s="14"/>
      <c r="AA76" s="31"/>
      <c r="AB76" s="14"/>
      <c r="AC76" s="14"/>
      <c r="AD76" s="14"/>
      <c r="AE76" s="14"/>
      <c r="AF76" s="14"/>
      <c r="AG76" s="31"/>
      <c r="AH76" s="14"/>
      <c r="AI76" s="14"/>
      <c r="AJ76" s="32"/>
      <c r="AK76" s="18"/>
      <c r="AL76" s="14"/>
    </row>
    <row r="77" spans="1:38">
      <c r="A77" s="12" t="s">
        <v>21</v>
      </c>
      <c r="B77" s="16">
        <v>70726</v>
      </c>
      <c r="X77" s="14"/>
      <c r="Y77" s="14"/>
      <c r="Z77" s="14"/>
      <c r="AA77" s="31"/>
      <c r="AB77" s="14"/>
      <c r="AC77" s="14"/>
      <c r="AD77" s="14"/>
      <c r="AE77" s="14"/>
      <c r="AF77" s="14"/>
      <c r="AG77" s="31"/>
      <c r="AH77" s="14"/>
      <c r="AI77" s="14"/>
      <c r="AJ77" s="32"/>
      <c r="AK77" s="14"/>
      <c r="AL77" s="14"/>
    </row>
    <row r="78" spans="1:38">
      <c r="A78" s="9" t="s">
        <v>46</v>
      </c>
      <c r="B78" s="15">
        <v>76018</v>
      </c>
      <c r="X78" s="14"/>
      <c r="Y78" s="14"/>
      <c r="Z78" s="14"/>
      <c r="AA78" s="31"/>
      <c r="AB78" s="14"/>
      <c r="AC78" s="14"/>
      <c r="AD78" s="14"/>
      <c r="AE78" s="14"/>
      <c r="AF78" s="14"/>
      <c r="AG78" s="31"/>
      <c r="AH78" s="14"/>
      <c r="AI78" s="14"/>
      <c r="AJ78" s="32"/>
      <c r="AK78" s="18"/>
      <c r="AL78" s="14"/>
    </row>
    <row r="79" spans="1:38">
      <c r="A79" s="12" t="s">
        <v>21</v>
      </c>
      <c r="B79" s="16">
        <v>66760</v>
      </c>
      <c r="X79" s="14"/>
      <c r="Y79" s="14"/>
      <c r="Z79" s="14"/>
      <c r="AA79" s="31"/>
      <c r="AB79" s="14"/>
      <c r="AC79" s="14"/>
      <c r="AD79" s="14"/>
      <c r="AE79" s="14"/>
      <c r="AF79" s="14"/>
      <c r="AG79" s="31"/>
      <c r="AH79" s="14"/>
      <c r="AI79" s="14"/>
      <c r="AJ79" s="32"/>
      <c r="AK79" s="18"/>
      <c r="AL79" s="14"/>
    </row>
    <row r="80" spans="1:38">
      <c r="A80" s="9" t="s">
        <v>46</v>
      </c>
      <c r="B80" s="15">
        <v>116440</v>
      </c>
      <c r="X80" s="14"/>
      <c r="Y80" s="14"/>
      <c r="Z80" s="14"/>
      <c r="AA80" s="31"/>
      <c r="AB80" s="14"/>
      <c r="AC80" s="14"/>
      <c r="AD80" s="14"/>
      <c r="AE80" s="14"/>
      <c r="AF80" s="14"/>
      <c r="AG80" s="31"/>
      <c r="AH80" s="14"/>
      <c r="AI80" s="14"/>
      <c r="AJ80" s="32"/>
      <c r="AK80" s="18"/>
      <c r="AL80" s="14"/>
    </row>
    <row r="81" spans="1:38">
      <c r="A81" s="12" t="s">
        <v>21</v>
      </c>
      <c r="B81" s="16">
        <v>53254</v>
      </c>
      <c r="X81" s="14"/>
      <c r="Y81" s="14"/>
      <c r="Z81" s="14"/>
      <c r="AA81" s="31"/>
      <c r="AB81" s="14"/>
      <c r="AC81" s="14"/>
      <c r="AD81" s="14"/>
      <c r="AE81" s="14"/>
      <c r="AF81" s="14"/>
      <c r="AG81" s="31"/>
      <c r="AH81" s="14"/>
      <c r="AI81" s="14"/>
      <c r="AJ81" s="32"/>
      <c r="AK81" s="18"/>
      <c r="AL81" s="14"/>
    </row>
    <row r="82" spans="1:38">
      <c r="A82" s="9" t="s">
        <v>32</v>
      </c>
      <c r="B82" s="15">
        <v>154780</v>
      </c>
      <c r="X82" s="14"/>
      <c r="Y82" s="14"/>
      <c r="Z82" s="14"/>
      <c r="AA82" s="31"/>
      <c r="AB82" s="14"/>
      <c r="AC82" s="14"/>
      <c r="AD82" s="14"/>
      <c r="AE82" s="14"/>
      <c r="AF82" s="14"/>
      <c r="AG82" s="31"/>
      <c r="AH82" s="14"/>
      <c r="AI82" s="14"/>
      <c r="AJ82" s="32"/>
      <c r="AK82" s="18"/>
      <c r="AL82" s="14"/>
    </row>
    <row r="83" spans="1:38">
      <c r="A83" s="12" t="s">
        <v>32</v>
      </c>
      <c r="B83" s="16">
        <v>73900</v>
      </c>
      <c r="X83" s="14"/>
      <c r="Y83" s="14"/>
      <c r="Z83" s="14"/>
      <c r="AA83" s="31"/>
      <c r="AB83" s="14"/>
      <c r="AC83" s="14"/>
      <c r="AD83" s="14"/>
      <c r="AE83" s="14"/>
      <c r="AF83" s="14"/>
      <c r="AG83" s="31"/>
      <c r="AH83" s="14"/>
      <c r="AI83" s="14"/>
      <c r="AJ83" s="32"/>
      <c r="AK83" s="18"/>
      <c r="AL83" s="14"/>
    </row>
    <row r="84" spans="1:38">
      <c r="A84" s="9" t="s">
        <v>87</v>
      </c>
      <c r="B84" s="15">
        <v>120100</v>
      </c>
      <c r="X84" s="14"/>
      <c r="Y84" s="14"/>
      <c r="Z84" s="14"/>
      <c r="AA84" s="31"/>
      <c r="AB84" s="14"/>
      <c r="AC84" s="14"/>
      <c r="AD84" s="14"/>
      <c r="AE84" s="14"/>
      <c r="AF84" s="14"/>
      <c r="AG84" s="31"/>
      <c r="AH84" s="14"/>
      <c r="AI84" s="14"/>
      <c r="AJ84" s="32"/>
      <c r="AK84" s="18"/>
      <c r="AL84" s="14"/>
    </row>
    <row r="85" spans="1:38">
      <c r="A85" s="12" t="s">
        <v>32</v>
      </c>
      <c r="B85" s="16">
        <v>75400</v>
      </c>
      <c r="X85" s="14"/>
      <c r="Y85" s="14"/>
      <c r="Z85" s="14"/>
      <c r="AA85" s="31"/>
      <c r="AB85" s="14"/>
      <c r="AC85" s="14"/>
      <c r="AD85" s="14"/>
      <c r="AE85" s="14"/>
      <c r="AF85" s="14"/>
      <c r="AG85" s="31"/>
      <c r="AH85" s="14"/>
      <c r="AI85" s="14"/>
      <c r="AJ85" s="32"/>
      <c r="AK85" s="18"/>
      <c r="AL85" s="14"/>
    </row>
    <row r="86" spans="1:38">
      <c r="A86" s="9" t="s">
        <v>32</v>
      </c>
      <c r="B86" s="15">
        <v>76120</v>
      </c>
      <c r="X86" s="14"/>
      <c r="Y86" s="14"/>
      <c r="Z86" s="14"/>
      <c r="AA86" s="31"/>
      <c r="AB86" s="14"/>
      <c r="AC86" s="14"/>
      <c r="AD86" s="14"/>
      <c r="AE86" s="14"/>
      <c r="AF86" s="14"/>
      <c r="AG86" s="31"/>
      <c r="AH86" s="14"/>
      <c r="AI86" s="14"/>
      <c r="AJ86" s="32"/>
      <c r="AK86" s="18"/>
      <c r="AL86" s="14"/>
    </row>
    <row r="87" spans="1:38">
      <c r="A87" s="12" t="s">
        <v>21</v>
      </c>
      <c r="B87" s="16">
        <v>59944</v>
      </c>
      <c r="X87" s="14"/>
      <c r="Y87" s="14"/>
      <c r="Z87" s="14"/>
      <c r="AA87" s="31"/>
      <c r="AB87" s="14"/>
      <c r="AC87" s="14"/>
      <c r="AD87" s="14"/>
      <c r="AE87" s="14"/>
      <c r="AF87" s="14"/>
      <c r="AG87" s="31"/>
      <c r="AH87" s="14"/>
      <c r="AI87" s="14"/>
      <c r="AJ87" s="32"/>
      <c r="AK87" s="18"/>
      <c r="AL87" s="14"/>
    </row>
    <row r="88" spans="1:38">
      <c r="A88" s="9" t="s">
        <v>32</v>
      </c>
      <c r="B88" s="15">
        <v>94729</v>
      </c>
      <c r="X88" s="14"/>
      <c r="Y88" s="14"/>
      <c r="Z88" s="14"/>
      <c r="AA88" s="31"/>
      <c r="AB88" s="14"/>
      <c r="AC88" s="14"/>
      <c r="AD88" s="14"/>
      <c r="AE88" s="14"/>
      <c r="AF88" s="14"/>
      <c r="AG88" s="31"/>
      <c r="AH88" s="14"/>
      <c r="AI88" s="14"/>
      <c r="AJ88" s="32"/>
      <c r="AK88" s="14"/>
      <c r="AL88" s="14"/>
    </row>
    <row r="89" spans="1:38">
      <c r="A89" s="12" t="s">
        <v>32</v>
      </c>
      <c r="B89" s="16">
        <v>73900</v>
      </c>
      <c r="X89" s="14"/>
      <c r="Y89" s="14"/>
      <c r="Z89" s="14"/>
      <c r="AA89" s="31"/>
      <c r="AB89" s="14"/>
      <c r="AC89" s="14"/>
      <c r="AD89" s="14"/>
      <c r="AE89" s="14"/>
      <c r="AF89" s="14"/>
      <c r="AG89" s="31"/>
      <c r="AH89" s="14"/>
      <c r="AI89" s="14"/>
      <c r="AJ89" s="32"/>
      <c r="AK89" s="18"/>
      <c r="AL89" s="14"/>
    </row>
    <row r="90" spans="1:38">
      <c r="A90" s="9" t="s">
        <v>149</v>
      </c>
      <c r="B90" s="15">
        <v>58990</v>
      </c>
      <c r="X90" s="14"/>
      <c r="Y90" s="14"/>
      <c r="Z90" s="14"/>
      <c r="AA90" s="31"/>
      <c r="AB90" s="14"/>
      <c r="AC90" s="14"/>
      <c r="AD90" s="14"/>
      <c r="AE90" s="14"/>
      <c r="AF90" s="14"/>
      <c r="AG90" s="31"/>
      <c r="AH90" s="14"/>
      <c r="AI90" s="14"/>
      <c r="AJ90" s="32"/>
      <c r="AK90" s="18"/>
      <c r="AL90" s="14"/>
    </row>
    <row r="91" spans="1:38">
      <c r="A91" s="12" t="s">
        <v>32</v>
      </c>
      <c r="B91" s="16">
        <v>84316</v>
      </c>
      <c r="X91" s="14"/>
      <c r="Y91" s="14"/>
      <c r="Z91" s="14"/>
      <c r="AA91" s="31"/>
      <c r="AB91" s="14"/>
      <c r="AC91" s="14"/>
      <c r="AD91" s="14"/>
      <c r="AE91" s="14"/>
      <c r="AF91" s="14"/>
      <c r="AG91" s="31"/>
      <c r="AH91" s="14"/>
      <c r="AI91" s="14"/>
      <c r="AJ91" s="32"/>
      <c r="AK91" s="14"/>
      <c r="AL91" s="14"/>
    </row>
    <row r="92" spans="1:38">
      <c r="A92" s="9" t="s">
        <v>32</v>
      </c>
      <c r="B92" s="15">
        <v>76120</v>
      </c>
      <c r="X92" s="14"/>
      <c r="Y92" s="14"/>
      <c r="Z92" s="14"/>
      <c r="AA92" s="31"/>
      <c r="AB92" s="14"/>
      <c r="AC92" s="14"/>
      <c r="AD92" s="14"/>
      <c r="AE92" s="14"/>
      <c r="AF92" s="14"/>
      <c r="AG92" s="31"/>
      <c r="AH92" s="14"/>
      <c r="AI92" s="14"/>
      <c r="AJ92" s="32"/>
      <c r="AK92" s="18"/>
      <c r="AL92" s="14"/>
    </row>
    <row r="93" spans="1:38">
      <c r="A93" s="12" t="s">
        <v>32</v>
      </c>
      <c r="B93" s="16">
        <v>125044</v>
      </c>
      <c r="X93" s="14"/>
      <c r="Y93" s="14"/>
      <c r="Z93" s="14"/>
      <c r="AA93" s="31"/>
      <c r="AB93" s="14"/>
      <c r="AC93" s="14"/>
      <c r="AD93" s="14"/>
      <c r="AE93" s="14"/>
      <c r="AF93" s="14"/>
      <c r="AG93" s="31"/>
      <c r="AH93" s="14"/>
      <c r="AI93" s="14"/>
      <c r="AJ93" s="32"/>
      <c r="AK93" s="18"/>
      <c r="AL93" s="14"/>
    </row>
    <row r="94" spans="1:38">
      <c r="A94" s="9" t="s">
        <v>32</v>
      </c>
      <c r="B94" s="15">
        <v>73930</v>
      </c>
      <c r="X94" s="14"/>
      <c r="Y94" s="14"/>
      <c r="Z94" s="14"/>
      <c r="AA94" s="31"/>
      <c r="AB94" s="14"/>
      <c r="AC94" s="14"/>
      <c r="AD94" s="14"/>
      <c r="AE94" s="14"/>
      <c r="AF94" s="14"/>
      <c r="AG94" s="31"/>
      <c r="AH94" s="14"/>
      <c r="AI94" s="14"/>
      <c r="AJ94" s="32"/>
      <c r="AK94" s="18"/>
      <c r="AL94" s="14"/>
    </row>
    <row r="95" spans="1:38">
      <c r="A95" s="12" t="s">
        <v>149</v>
      </c>
      <c r="B95" s="16">
        <v>81838</v>
      </c>
      <c r="X95" s="14"/>
      <c r="Y95" s="14"/>
      <c r="Z95" s="14"/>
      <c r="AA95" s="31"/>
      <c r="AB95" s="14"/>
      <c r="AC95" s="14"/>
      <c r="AD95" s="14"/>
      <c r="AE95" s="14"/>
      <c r="AF95" s="14"/>
      <c r="AG95" s="31"/>
      <c r="AH95" s="14"/>
      <c r="AI95" s="14"/>
      <c r="AJ95" s="32"/>
      <c r="AK95" s="18"/>
      <c r="AL95" s="14"/>
    </row>
    <row r="96" spans="1:38">
      <c r="A96" s="9" t="s">
        <v>32</v>
      </c>
      <c r="B96" s="15">
        <v>120250</v>
      </c>
      <c r="X96" s="14"/>
      <c r="Y96" s="14"/>
      <c r="Z96" s="14"/>
      <c r="AA96" s="31"/>
      <c r="AB96" s="14"/>
      <c r="AC96" s="14"/>
      <c r="AD96" s="14"/>
      <c r="AE96" s="14"/>
      <c r="AF96" s="14"/>
      <c r="AG96" s="31"/>
      <c r="AH96" s="14"/>
      <c r="AI96" s="14"/>
      <c r="AJ96" s="32"/>
      <c r="AK96" s="18"/>
      <c r="AL96" s="14"/>
    </row>
    <row r="97" spans="1:38">
      <c r="A97" s="12" t="s">
        <v>32</v>
      </c>
      <c r="B97" s="16">
        <v>174340</v>
      </c>
      <c r="X97" s="14"/>
      <c r="Y97" s="14"/>
      <c r="Z97" s="14"/>
      <c r="AA97" s="31"/>
      <c r="AB97" s="14"/>
      <c r="AC97" s="14"/>
      <c r="AD97" s="14"/>
      <c r="AE97" s="14"/>
      <c r="AF97" s="14"/>
      <c r="AG97" s="31"/>
      <c r="AH97" s="14"/>
      <c r="AI97" s="14"/>
      <c r="AJ97" s="32"/>
      <c r="AK97" s="18"/>
      <c r="AL97" s="14"/>
    </row>
    <row r="98" spans="1:38">
      <c r="A98" s="9" t="s">
        <v>21</v>
      </c>
      <c r="B98" s="15">
        <v>51940</v>
      </c>
      <c r="X98" s="14"/>
      <c r="Y98" s="14"/>
      <c r="Z98" s="14"/>
      <c r="AA98" s="31"/>
      <c r="AB98" s="14"/>
      <c r="AC98" s="14"/>
      <c r="AD98" s="14"/>
      <c r="AE98" s="14"/>
      <c r="AF98" s="14"/>
      <c r="AG98" s="31"/>
      <c r="AH98" s="14"/>
      <c r="AI98" s="14"/>
      <c r="AJ98" s="32"/>
      <c r="AK98" s="18"/>
      <c r="AL98" s="14"/>
    </row>
    <row r="99" spans="1:38">
      <c r="A99" s="12" t="s">
        <v>32</v>
      </c>
      <c r="B99" s="16">
        <v>73930</v>
      </c>
      <c r="X99" s="14"/>
      <c r="Y99" s="14"/>
      <c r="Z99" s="14"/>
      <c r="AA99" s="31"/>
      <c r="AB99" s="14"/>
      <c r="AC99" s="14"/>
      <c r="AD99" s="14"/>
      <c r="AE99" s="14"/>
      <c r="AF99" s="14"/>
      <c r="AG99" s="31"/>
      <c r="AH99" s="14"/>
      <c r="AI99" s="14"/>
      <c r="AJ99" s="32"/>
      <c r="AK99" s="18"/>
      <c r="AL99" s="14"/>
    </row>
    <row r="100" spans="1:38">
      <c r="A100" s="9" t="s">
        <v>32</v>
      </c>
      <c r="B100" s="15">
        <v>118330</v>
      </c>
      <c r="X100" s="14"/>
      <c r="Y100" s="14"/>
      <c r="Z100" s="14"/>
      <c r="AA100" s="31"/>
      <c r="AB100" s="14"/>
      <c r="AC100" s="14"/>
      <c r="AD100" s="14"/>
      <c r="AE100" s="14"/>
      <c r="AF100" s="14"/>
      <c r="AG100" s="31"/>
      <c r="AH100" s="14"/>
      <c r="AI100" s="14"/>
      <c r="AJ100" s="32"/>
      <c r="AK100" s="14"/>
      <c r="AL100" s="14"/>
    </row>
    <row r="101" spans="1:38">
      <c r="A101" s="12" t="s">
        <v>32</v>
      </c>
      <c r="B101" s="16">
        <v>94720</v>
      </c>
      <c r="X101" s="14"/>
      <c r="Y101" s="14"/>
      <c r="Z101" s="14"/>
      <c r="AA101" s="31"/>
      <c r="AB101" s="14"/>
      <c r="AC101" s="14"/>
      <c r="AD101" s="14"/>
      <c r="AE101" s="14"/>
      <c r="AF101" s="14"/>
      <c r="AG101" s="31"/>
      <c r="AH101" s="14"/>
      <c r="AI101" s="14"/>
      <c r="AJ101" s="32"/>
      <c r="AK101" s="18"/>
      <c r="AL101" s="14"/>
    </row>
    <row r="102" spans="1:38">
      <c r="A102" s="9" t="s">
        <v>149</v>
      </c>
      <c r="B102" s="15">
        <v>68864</v>
      </c>
      <c r="X102" s="14"/>
      <c r="Y102" s="14"/>
      <c r="Z102" s="14"/>
      <c r="AA102" s="31"/>
      <c r="AB102" s="14"/>
      <c r="AC102" s="14"/>
      <c r="AD102" s="14"/>
      <c r="AE102" s="14"/>
      <c r="AF102" s="14"/>
      <c r="AG102" s="31"/>
      <c r="AH102" s="14"/>
      <c r="AI102" s="14"/>
      <c r="AJ102" s="32"/>
      <c r="AK102" s="18"/>
      <c r="AL102" s="14"/>
    </row>
    <row r="103" spans="1:38">
      <c r="A103" s="12" t="s">
        <v>87</v>
      </c>
      <c r="B103" s="16">
        <v>76600</v>
      </c>
      <c r="X103" s="14"/>
      <c r="Y103" s="14"/>
      <c r="Z103" s="14"/>
      <c r="AA103" s="31"/>
      <c r="AB103" s="14"/>
      <c r="AC103" s="14"/>
      <c r="AD103" s="14"/>
      <c r="AE103" s="14"/>
      <c r="AF103" s="14"/>
      <c r="AG103" s="31"/>
      <c r="AH103" s="14"/>
      <c r="AI103" s="14"/>
      <c r="AJ103" s="32"/>
      <c r="AK103" s="18"/>
      <c r="AL103" s="14"/>
    </row>
    <row r="104" spans="1:38">
      <c r="A104" s="9" t="s">
        <v>32</v>
      </c>
      <c r="B104" s="15">
        <v>84316</v>
      </c>
      <c r="X104" s="14"/>
      <c r="Y104" s="14"/>
      <c r="Z104" s="14"/>
      <c r="AA104" s="31"/>
      <c r="AB104" s="14"/>
      <c r="AC104" s="14"/>
      <c r="AD104" s="14"/>
      <c r="AE104" s="14"/>
      <c r="AF104" s="14"/>
      <c r="AG104" s="31"/>
      <c r="AH104" s="14"/>
      <c r="AI104" s="14"/>
      <c r="AJ104" s="32"/>
      <c r="AK104" s="18"/>
      <c r="AL104" s="14"/>
    </row>
    <row r="105" spans="1:38">
      <c r="A105" s="12" t="s">
        <v>87</v>
      </c>
      <c r="B105" s="16">
        <v>76600</v>
      </c>
      <c r="X105" s="14"/>
      <c r="Y105" s="14"/>
      <c r="Z105" s="14"/>
      <c r="AA105" s="31"/>
      <c r="AB105" s="14"/>
      <c r="AC105" s="14"/>
      <c r="AD105" s="14"/>
      <c r="AE105" s="14"/>
      <c r="AF105" s="14"/>
      <c r="AG105" s="31"/>
      <c r="AH105" s="14"/>
      <c r="AI105" s="14"/>
      <c r="AJ105" s="32"/>
      <c r="AK105" s="18"/>
      <c r="AL105" s="14"/>
    </row>
    <row r="106" spans="1:38">
      <c r="A106" s="9" t="s">
        <v>21</v>
      </c>
      <c r="B106" s="15">
        <v>127900</v>
      </c>
      <c r="X106" s="14"/>
      <c r="Y106" s="14"/>
      <c r="Z106" s="14"/>
      <c r="AA106" s="31"/>
      <c r="AB106" s="14"/>
      <c r="AC106" s="14"/>
      <c r="AD106" s="14"/>
      <c r="AE106" s="14"/>
      <c r="AF106" s="14"/>
      <c r="AG106" s="31"/>
      <c r="AH106" s="14"/>
      <c r="AI106" s="14"/>
      <c r="AJ106" s="32"/>
      <c r="AK106" s="18"/>
      <c r="AL106" s="14"/>
    </row>
    <row r="107" spans="1:38">
      <c r="A107" s="12" t="s">
        <v>32</v>
      </c>
      <c r="B107" s="16">
        <v>136000</v>
      </c>
      <c r="X107" s="14"/>
      <c r="Y107" s="14"/>
      <c r="Z107" s="14"/>
      <c r="AA107" s="31"/>
      <c r="AB107" s="14"/>
      <c r="AC107" s="14"/>
      <c r="AD107" s="14"/>
      <c r="AE107" s="14"/>
      <c r="AF107" s="14"/>
      <c r="AG107" s="31"/>
      <c r="AH107" s="14"/>
      <c r="AI107" s="14"/>
      <c r="AJ107" s="32"/>
      <c r="AK107" s="14"/>
      <c r="AL107" s="14"/>
    </row>
    <row r="108" spans="1:38">
      <c r="A108" s="9" t="s">
        <v>32</v>
      </c>
      <c r="B108" s="15">
        <v>53650</v>
      </c>
      <c r="X108" s="14"/>
      <c r="Y108" s="14"/>
      <c r="Z108" s="14"/>
      <c r="AA108" s="31"/>
      <c r="AB108" s="14"/>
      <c r="AC108" s="14"/>
      <c r="AD108" s="14"/>
      <c r="AE108" s="14"/>
      <c r="AF108" s="14"/>
      <c r="AG108" s="31"/>
      <c r="AH108" s="14"/>
      <c r="AI108" s="14"/>
      <c r="AJ108" s="32"/>
      <c r="AK108" s="18"/>
      <c r="AL108" s="14"/>
    </row>
    <row r="109" spans="1:38">
      <c r="A109" s="12" t="s">
        <v>149</v>
      </c>
      <c r="B109" s="16">
        <v>81838</v>
      </c>
      <c r="X109" s="14"/>
      <c r="Y109" s="14"/>
      <c r="Z109" s="14"/>
      <c r="AA109" s="31"/>
      <c r="AB109" s="14"/>
      <c r="AC109" s="14"/>
      <c r="AD109" s="14"/>
      <c r="AE109" s="14"/>
      <c r="AF109" s="14"/>
      <c r="AG109" s="31"/>
      <c r="AH109" s="14"/>
      <c r="AI109" s="14"/>
      <c r="AJ109" s="32"/>
      <c r="AK109" s="18"/>
      <c r="AL109" s="14"/>
    </row>
    <row r="110" spans="1:38">
      <c r="A110" s="9" t="s">
        <v>68</v>
      </c>
      <c r="B110" s="15">
        <v>66700</v>
      </c>
      <c r="X110" s="14"/>
      <c r="Y110" s="14"/>
      <c r="Z110" s="14"/>
      <c r="AA110" s="31"/>
      <c r="AB110" s="14"/>
      <c r="AC110" s="14"/>
      <c r="AD110" s="14"/>
      <c r="AE110" s="14"/>
      <c r="AF110" s="14"/>
      <c r="AG110" s="31"/>
      <c r="AH110" s="14"/>
      <c r="AI110" s="14"/>
      <c r="AJ110" s="32"/>
      <c r="AK110" s="18"/>
      <c r="AL110" s="14"/>
    </row>
    <row r="111" spans="1:38">
      <c r="A111" s="12" t="s">
        <v>32</v>
      </c>
      <c r="B111" s="16">
        <v>138010</v>
      </c>
      <c r="X111" s="14"/>
      <c r="Y111" s="14"/>
      <c r="Z111" s="14"/>
      <c r="AA111" s="31"/>
      <c r="AB111" s="14"/>
      <c r="AC111" s="14"/>
      <c r="AD111" s="14"/>
      <c r="AE111" s="14"/>
      <c r="AF111" s="14"/>
      <c r="AG111" s="31"/>
      <c r="AH111" s="14"/>
      <c r="AI111" s="14"/>
      <c r="AJ111" s="32"/>
      <c r="AK111" s="18"/>
      <c r="AL111" s="14"/>
    </row>
    <row r="112" spans="1:38">
      <c r="A112" s="9" t="s">
        <v>21</v>
      </c>
      <c r="B112" s="15">
        <v>91996</v>
      </c>
      <c r="X112" s="14"/>
      <c r="Y112" s="14"/>
      <c r="Z112" s="14"/>
      <c r="AA112" s="31"/>
      <c r="AB112" s="14"/>
      <c r="AC112" s="14"/>
      <c r="AD112" s="14"/>
      <c r="AE112" s="14"/>
      <c r="AF112" s="14"/>
      <c r="AG112" s="31"/>
      <c r="AH112" s="14"/>
      <c r="AI112" s="14"/>
      <c r="AJ112" s="32"/>
      <c r="AK112" s="18"/>
      <c r="AL112" s="14"/>
    </row>
    <row r="113" spans="1:38">
      <c r="A113" s="12" t="s">
        <v>32</v>
      </c>
      <c r="B113" s="16">
        <v>92290</v>
      </c>
      <c r="X113" s="14"/>
      <c r="Y113" s="14"/>
      <c r="Z113" s="14"/>
      <c r="AA113" s="31"/>
      <c r="AB113" s="14"/>
      <c r="AC113" s="14"/>
      <c r="AD113" s="14"/>
      <c r="AE113" s="14"/>
      <c r="AF113" s="14"/>
      <c r="AG113" s="31"/>
      <c r="AH113" s="14"/>
      <c r="AI113" s="14"/>
      <c r="AJ113" s="32"/>
      <c r="AK113" s="18"/>
      <c r="AL113" s="14"/>
    </row>
    <row r="114" spans="1:38">
      <c r="A114" s="9" t="s">
        <v>32</v>
      </c>
      <c r="B114" s="15">
        <v>74200</v>
      </c>
      <c r="X114" s="14"/>
      <c r="Y114" s="14"/>
      <c r="Z114" s="14"/>
      <c r="AA114" s="31"/>
      <c r="AB114" s="14"/>
      <c r="AC114" s="14"/>
      <c r="AD114" s="14"/>
      <c r="AE114" s="14"/>
      <c r="AF114" s="14"/>
      <c r="AG114" s="31"/>
      <c r="AH114" s="14"/>
      <c r="AI114" s="14"/>
      <c r="AJ114" s="32"/>
      <c r="AK114" s="18"/>
      <c r="AL114" s="14"/>
    </row>
    <row r="115" spans="1:38">
      <c r="A115" s="12" t="s">
        <v>46</v>
      </c>
      <c r="B115" s="16">
        <v>88726</v>
      </c>
      <c r="X115" s="14"/>
      <c r="Y115" s="14"/>
      <c r="Z115" s="14"/>
      <c r="AA115" s="31"/>
      <c r="AB115" s="14"/>
      <c r="AC115" s="14"/>
      <c r="AD115" s="14"/>
      <c r="AE115" s="14"/>
      <c r="AF115" s="14"/>
      <c r="AG115" s="31"/>
      <c r="AH115" s="14"/>
      <c r="AI115" s="14"/>
      <c r="AJ115" s="32"/>
      <c r="AK115" s="18"/>
      <c r="AL115" s="14"/>
    </row>
    <row r="116" spans="1:38">
      <c r="A116" s="9" t="s">
        <v>32</v>
      </c>
      <c r="B116" s="15">
        <v>53650</v>
      </c>
      <c r="X116" s="14"/>
      <c r="Y116" s="14"/>
      <c r="Z116" s="14"/>
      <c r="AA116" s="31"/>
      <c r="AB116" s="14"/>
      <c r="AC116" s="14"/>
      <c r="AD116" s="14"/>
      <c r="AE116" s="14"/>
      <c r="AF116" s="14"/>
      <c r="AG116" s="31"/>
      <c r="AH116" s="14"/>
      <c r="AI116" s="14"/>
      <c r="AJ116" s="32"/>
      <c r="AK116" s="18"/>
      <c r="AL116" s="14"/>
    </row>
    <row r="117" spans="1:38">
      <c r="A117" s="12" t="s">
        <v>21</v>
      </c>
      <c r="B117" s="16">
        <v>53254</v>
      </c>
      <c r="X117" s="14"/>
      <c r="Y117" s="14"/>
      <c r="Z117" s="14"/>
      <c r="AA117" s="31"/>
      <c r="AB117" s="14"/>
      <c r="AC117" s="14"/>
      <c r="AD117" s="14"/>
      <c r="AE117" s="14"/>
      <c r="AF117" s="14"/>
      <c r="AG117" s="31"/>
      <c r="AH117" s="14"/>
      <c r="AI117" s="14"/>
      <c r="AJ117" s="32"/>
      <c r="AK117" s="18"/>
      <c r="AL117" s="14"/>
    </row>
    <row r="118" spans="1:38">
      <c r="A118" s="9" t="s">
        <v>32</v>
      </c>
      <c r="B118" s="15">
        <v>83074</v>
      </c>
      <c r="X118" s="14"/>
      <c r="Y118" s="14"/>
      <c r="Z118" s="14"/>
      <c r="AA118" s="31"/>
      <c r="AB118" s="14"/>
      <c r="AC118" s="14"/>
      <c r="AD118" s="14"/>
      <c r="AE118" s="14"/>
      <c r="AF118" s="14"/>
      <c r="AG118" s="31"/>
      <c r="AH118" s="14"/>
      <c r="AI118" s="14"/>
      <c r="AJ118" s="32"/>
      <c r="AK118" s="18"/>
      <c r="AL118" s="14"/>
    </row>
    <row r="119" spans="1:38">
      <c r="A119" s="12" t="s">
        <v>21</v>
      </c>
      <c r="B119" s="16">
        <v>124822</v>
      </c>
      <c r="X119" s="14"/>
      <c r="Y119" s="14"/>
      <c r="Z119" s="14"/>
      <c r="AA119" s="31"/>
      <c r="AB119" s="14"/>
      <c r="AC119" s="14"/>
      <c r="AD119" s="14"/>
      <c r="AE119" s="14"/>
      <c r="AF119" s="14"/>
      <c r="AG119" s="31"/>
      <c r="AH119" s="14"/>
      <c r="AI119" s="14"/>
      <c r="AJ119" s="32"/>
      <c r="AK119" s="18"/>
      <c r="AL119" s="14"/>
    </row>
    <row r="120" spans="1:38">
      <c r="A120" s="9" t="s">
        <v>32</v>
      </c>
      <c r="B120" s="15">
        <v>138010</v>
      </c>
      <c r="X120" s="14"/>
      <c r="Y120" s="14"/>
      <c r="Z120" s="14"/>
      <c r="AA120" s="31"/>
      <c r="AB120" s="14"/>
      <c r="AC120" s="14"/>
      <c r="AD120" s="14"/>
      <c r="AE120" s="14"/>
      <c r="AF120" s="14"/>
      <c r="AG120" s="31"/>
      <c r="AH120" s="14"/>
      <c r="AI120" s="14"/>
      <c r="AJ120" s="32"/>
      <c r="AK120" s="18"/>
      <c r="AL120" s="14"/>
    </row>
    <row r="121" spans="1:38">
      <c r="A121" s="40" t="s">
        <v>21</v>
      </c>
      <c r="B121" s="41">
        <v>98976</v>
      </c>
      <c r="X121" s="14"/>
      <c r="Y121" s="14"/>
      <c r="Z121" s="14"/>
      <c r="AA121" s="31"/>
      <c r="AB121" s="14"/>
      <c r="AC121" s="14"/>
      <c r="AD121" s="14"/>
      <c r="AE121" s="14"/>
      <c r="AF121" s="14"/>
      <c r="AG121" s="31"/>
      <c r="AH121" s="14"/>
      <c r="AI121" s="14"/>
      <c r="AJ121" s="32"/>
      <c r="AK121" s="18"/>
      <c r="AL121" s="1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EB48-C760-4EEE-8D12-7524BAEED93F}">
  <dimension ref="A3:O11"/>
  <sheetViews>
    <sheetView workbookViewId="0">
      <selection activeCell="O11" sqref="A3:O11"/>
    </sheetView>
  </sheetViews>
  <sheetFormatPr defaultRowHeight="15"/>
  <cols>
    <col min="1" max="1" width="14.5703125" bestFit="1" customWidth="1"/>
    <col min="2" max="2" width="14.140625" bestFit="1" customWidth="1"/>
    <col min="3" max="3" width="10.7109375" bestFit="1" customWidth="1"/>
    <col min="4" max="4" width="13" customWidth="1"/>
    <col min="5" max="5" width="10" bestFit="1" customWidth="1"/>
    <col min="6" max="6" width="12" customWidth="1"/>
    <col min="8" max="8" width="11.140625" bestFit="1" customWidth="1"/>
    <col min="9" max="9" width="13.42578125" customWidth="1"/>
    <col min="10" max="10" width="12" customWidth="1"/>
    <col min="11" max="11" width="10.140625" bestFit="1" customWidth="1"/>
    <col min="12" max="12" width="10.7109375" bestFit="1" customWidth="1"/>
    <col min="13" max="13" width="16.42578125" bestFit="1" customWidth="1"/>
    <col min="14" max="14" width="13.5703125" bestFit="1" customWidth="1"/>
    <col min="15" max="15" width="14.28515625" bestFit="1" customWidth="1"/>
  </cols>
  <sheetData>
    <row r="3" spans="1:15">
      <c r="A3" s="4" t="s">
        <v>312</v>
      </c>
      <c r="B3" s="4" t="s">
        <v>11</v>
      </c>
    </row>
    <row r="4" spans="1:15">
      <c r="A4" s="4" t="s">
        <v>10</v>
      </c>
      <c r="B4" t="s">
        <v>124</v>
      </c>
      <c r="C4" t="s">
        <v>174</v>
      </c>
      <c r="D4" t="s">
        <v>47</v>
      </c>
      <c r="E4" t="s">
        <v>33</v>
      </c>
      <c r="F4" t="s">
        <v>296</v>
      </c>
      <c r="G4" t="s">
        <v>94</v>
      </c>
      <c r="H4" t="s">
        <v>88</v>
      </c>
      <c r="I4" t="s">
        <v>78</v>
      </c>
      <c r="J4" t="s">
        <v>22</v>
      </c>
      <c r="K4" t="s">
        <v>300</v>
      </c>
      <c r="L4" t="s">
        <v>55</v>
      </c>
      <c r="M4" t="s">
        <v>69</v>
      </c>
      <c r="N4" t="s">
        <v>38</v>
      </c>
      <c r="O4" t="s">
        <v>313</v>
      </c>
    </row>
    <row r="5" spans="1:15">
      <c r="A5" t="s">
        <v>21</v>
      </c>
      <c r="B5" s="5"/>
      <c r="C5" s="5"/>
      <c r="D5" s="5"/>
      <c r="E5" s="5"/>
      <c r="F5" s="5"/>
      <c r="G5" s="5">
        <v>477920</v>
      </c>
      <c r="H5" s="5"/>
      <c r="I5" s="5"/>
      <c r="J5" s="5">
        <v>2211802</v>
      </c>
      <c r="K5" s="5">
        <v>124822</v>
      </c>
      <c r="L5" s="5"/>
      <c r="M5" s="5"/>
      <c r="N5" s="5"/>
      <c r="O5" s="5">
        <v>2814544</v>
      </c>
    </row>
    <row r="6" spans="1:15">
      <c r="A6" t="s">
        <v>149</v>
      </c>
      <c r="B6" s="5"/>
      <c r="C6" s="5"/>
      <c r="D6" s="5"/>
      <c r="E6" s="5"/>
      <c r="F6" s="5"/>
      <c r="G6" s="5">
        <v>81838</v>
      </c>
      <c r="H6" s="5"/>
      <c r="I6" s="5"/>
      <c r="J6" s="5">
        <v>417546</v>
      </c>
      <c r="K6" s="5"/>
      <c r="L6" s="5"/>
      <c r="M6" s="5"/>
      <c r="N6" s="5"/>
      <c r="O6" s="5">
        <v>499384</v>
      </c>
    </row>
    <row r="7" spans="1:15">
      <c r="A7" t="s">
        <v>87</v>
      </c>
      <c r="B7" s="5"/>
      <c r="C7" s="5"/>
      <c r="D7" s="5"/>
      <c r="E7" s="5"/>
      <c r="F7" s="5"/>
      <c r="G7" s="5"/>
      <c r="H7" s="5">
        <v>559800</v>
      </c>
      <c r="I7" s="5"/>
      <c r="J7" s="5"/>
      <c r="K7" s="5"/>
      <c r="L7" s="5"/>
      <c r="M7" s="5"/>
      <c r="N7" s="5"/>
      <c r="O7" s="5">
        <v>559800</v>
      </c>
    </row>
    <row r="8" spans="1:15">
      <c r="A8" t="s">
        <v>32</v>
      </c>
      <c r="B8" s="5">
        <v>174340</v>
      </c>
      <c r="C8" s="5"/>
      <c r="D8" s="5"/>
      <c r="E8" s="5">
        <v>2557515</v>
      </c>
      <c r="F8" s="5">
        <v>83074</v>
      </c>
      <c r="G8" s="5"/>
      <c r="H8" s="5"/>
      <c r="I8" s="5">
        <v>1623751</v>
      </c>
      <c r="J8" s="5"/>
      <c r="K8" s="5"/>
      <c r="L8" s="5">
        <v>841100</v>
      </c>
      <c r="M8" s="5"/>
      <c r="N8" s="5">
        <v>373112</v>
      </c>
      <c r="O8" s="5">
        <v>5652892</v>
      </c>
    </row>
    <row r="9" spans="1:15">
      <c r="A9" t="s">
        <v>46</v>
      </c>
      <c r="B9" s="5"/>
      <c r="C9" s="5">
        <v>181376</v>
      </c>
      <c r="D9" s="5">
        <v>1076172</v>
      </c>
      <c r="E9" s="5"/>
      <c r="F9" s="5"/>
      <c r="G9" s="5"/>
      <c r="H9" s="5"/>
      <c r="I9" s="5"/>
      <c r="J9" s="5"/>
      <c r="K9" s="5"/>
      <c r="L9" s="5"/>
      <c r="M9" s="5"/>
      <c r="N9" s="5"/>
      <c r="O9" s="5">
        <v>1257548</v>
      </c>
    </row>
    <row r="10" spans="1:15">
      <c r="A10" t="s">
        <v>68</v>
      </c>
      <c r="B10" s="5"/>
      <c r="C10" s="5"/>
      <c r="D10" s="5"/>
      <c r="E10" s="5"/>
      <c r="F10" s="5"/>
      <c r="G10" s="5"/>
      <c r="H10" s="5">
        <v>185030</v>
      </c>
      <c r="I10" s="5"/>
      <c r="J10" s="5"/>
      <c r="K10" s="5"/>
      <c r="L10" s="5"/>
      <c r="M10" s="5">
        <v>301080</v>
      </c>
      <c r="N10" s="5"/>
      <c r="O10" s="5">
        <v>486110</v>
      </c>
    </row>
    <row r="11" spans="1:15">
      <c r="A11" t="s">
        <v>313</v>
      </c>
      <c r="B11" s="5">
        <v>174340</v>
      </c>
      <c r="C11" s="5">
        <v>181376</v>
      </c>
      <c r="D11" s="5">
        <v>1076172</v>
      </c>
      <c r="E11" s="5">
        <v>2557515</v>
      </c>
      <c r="F11" s="5">
        <v>83074</v>
      </c>
      <c r="G11" s="5">
        <v>559758</v>
      </c>
      <c r="H11" s="5">
        <v>744830</v>
      </c>
      <c r="I11" s="5">
        <v>1623751</v>
      </c>
      <c r="J11" s="5">
        <v>2629348</v>
      </c>
      <c r="K11" s="5">
        <v>124822</v>
      </c>
      <c r="L11" s="5">
        <v>841100</v>
      </c>
      <c r="M11" s="5">
        <v>301080</v>
      </c>
      <c r="N11" s="5">
        <v>373112</v>
      </c>
      <c r="O11" s="5">
        <v>11270278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CF90-6584-46A9-8CCF-3386C46F92FF}">
  <dimension ref="A1:B121"/>
  <sheetViews>
    <sheetView workbookViewId="0">
      <selection activeCell="D4" sqref="D4"/>
    </sheetView>
  </sheetViews>
  <sheetFormatPr defaultRowHeight="15"/>
  <cols>
    <col min="1" max="1" width="14.85546875" customWidth="1"/>
    <col min="2" max="2" width="18.140625" customWidth="1"/>
  </cols>
  <sheetData>
    <row r="1" spans="1:2">
      <c r="A1" s="6" t="s">
        <v>0</v>
      </c>
      <c r="B1" s="7" t="s">
        <v>12</v>
      </c>
    </row>
    <row r="2" spans="1:2">
      <c r="A2" s="8">
        <v>1</v>
      </c>
      <c r="B2" s="15">
        <v>83269</v>
      </c>
    </row>
    <row r="3" spans="1:2">
      <c r="A3" s="11">
        <v>2</v>
      </c>
      <c r="B3" s="16">
        <v>98185</v>
      </c>
    </row>
    <row r="4" spans="1:2">
      <c r="A4" s="8">
        <v>3</v>
      </c>
      <c r="B4" s="15">
        <v>63283</v>
      </c>
    </row>
    <row r="5" spans="1:2">
      <c r="A5" s="11">
        <v>4</v>
      </c>
      <c r="B5" s="16">
        <v>186556</v>
      </c>
    </row>
    <row r="6" spans="1:2">
      <c r="A6" s="8">
        <v>5</v>
      </c>
      <c r="B6" s="15">
        <v>125380</v>
      </c>
    </row>
    <row r="7" spans="1:2">
      <c r="A7" s="11">
        <v>6</v>
      </c>
      <c r="B7" s="16">
        <v>92650</v>
      </c>
    </row>
    <row r="8" spans="1:2">
      <c r="A8" s="8">
        <v>7</v>
      </c>
      <c r="B8" s="15">
        <v>70726</v>
      </c>
    </row>
    <row r="9" spans="1:2">
      <c r="A9" s="11">
        <v>8</v>
      </c>
      <c r="B9" s="16">
        <v>74200</v>
      </c>
    </row>
    <row r="10" spans="1:2">
      <c r="A10" s="8">
        <v>9</v>
      </c>
      <c r="B10" s="15">
        <v>92290</v>
      </c>
    </row>
    <row r="11" spans="1:2">
      <c r="A11" s="11">
        <v>10</v>
      </c>
      <c r="B11" s="16">
        <v>63283</v>
      </c>
    </row>
    <row r="12" spans="1:2">
      <c r="A12" s="8">
        <v>11</v>
      </c>
      <c r="B12" s="15">
        <v>97690</v>
      </c>
    </row>
    <row r="13" spans="1:2">
      <c r="A13" s="11">
        <v>12</v>
      </c>
      <c r="B13" s="16">
        <v>79600</v>
      </c>
    </row>
    <row r="14" spans="1:2">
      <c r="A14" s="8">
        <v>13</v>
      </c>
      <c r="B14" s="15">
        <v>83269</v>
      </c>
    </row>
    <row r="15" spans="1:2">
      <c r="A15" s="11">
        <v>14</v>
      </c>
      <c r="B15" s="16">
        <v>100420</v>
      </c>
    </row>
    <row r="16" spans="1:2">
      <c r="A16" s="8">
        <v>15</v>
      </c>
      <c r="B16" s="15">
        <v>79600</v>
      </c>
    </row>
    <row r="17" spans="1:2">
      <c r="A17" s="11">
        <v>16</v>
      </c>
      <c r="B17" s="16">
        <v>79600</v>
      </c>
    </row>
    <row r="18" spans="1:2">
      <c r="A18" s="8">
        <v>17</v>
      </c>
      <c r="B18" s="15">
        <v>56995</v>
      </c>
    </row>
    <row r="19" spans="1:2">
      <c r="A19" s="11">
        <v>18</v>
      </c>
      <c r="B19" s="16">
        <v>83200</v>
      </c>
    </row>
    <row r="20" spans="1:2">
      <c r="A20" s="8">
        <v>19</v>
      </c>
      <c r="B20" s="15">
        <v>127018</v>
      </c>
    </row>
    <row r="21" spans="1:2">
      <c r="A21" s="11">
        <v>20</v>
      </c>
      <c r="B21" s="16">
        <v>73000</v>
      </c>
    </row>
    <row r="22" spans="1:2">
      <c r="A22" s="8">
        <v>21</v>
      </c>
      <c r="B22" s="15">
        <v>114760</v>
      </c>
    </row>
    <row r="23" spans="1:2">
      <c r="A23" s="11">
        <v>22</v>
      </c>
      <c r="B23" s="16">
        <v>79600</v>
      </c>
    </row>
    <row r="24" spans="1:2">
      <c r="A24" s="8">
        <v>23</v>
      </c>
      <c r="B24" s="15">
        <v>125380</v>
      </c>
    </row>
    <row r="25" spans="1:2">
      <c r="A25" s="11">
        <v>24</v>
      </c>
      <c r="B25" s="16">
        <v>91996</v>
      </c>
    </row>
    <row r="26" spans="1:2">
      <c r="A26" s="8">
        <v>25</v>
      </c>
      <c r="B26" s="15">
        <v>127018</v>
      </c>
    </row>
    <row r="27" spans="1:2">
      <c r="A27" s="11">
        <v>26</v>
      </c>
      <c r="B27" s="16">
        <v>118900</v>
      </c>
    </row>
    <row r="28" spans="1:2">
      <c r="A28" s="8">
        <v>27</v>
      </c>
      <c r="B28" s="15">
        <v>105044</v>
      </c>
    </row>
    <row r="29" spans="1:2">
      <c r="A29" s="11">
        <v>28</v>
      </c>
      <c r="B29" s="16">
        <v>66760</v>
      </c>
    </row>
    <row r="30" spans="1:2">
      <c r="A30" s="8">
        <v>29</v>
      </c>
      <c r="B30" s="15">
        <v>118900</v>
      </c>
    </row>
    <row r="31" spans="1:2">
      <c r="A31" s="11">
        <v>30</v>
      </c>
      <c r="B31" s="16">
        <v>114760</v>
      </c>
    </row>
    <row r="32" spans="1:2">
      <c r="A32" s="8">
        <v>31</v>
      </c>
      <c r="B32" s="15">
        <v>83200</v>
      </c>
    </row>
    <row r="33" spans="1:2">
      <c r="A33" s="11">
        <v>32</v>
      </c>
      <c r="B33" s="16">
        <v>174340</v>
      </c>
    </row>
    <row r="34" spans="1:2">
      <c r="A34" s="8">
        <v>33</v>
      </c>
      <c r="B34" s="15">
        <v>118330</v>
      </c>
    </row>
    <row r="35" spans="1:2">
      <c r="A35" s="11">
        <v>34</v>
      </c>
      <c r="B35" s="16">
        <v>108976</v>
      </c>
    </row>
    <row r="36" spans="1:2">
      <c r="A36" s="8">
        <v>35</v>
      </c>
      <c r="B36" s="15">
        <v>80185</v>
      </c>
    </row>
    <row r="37" spans="1:2">
      <c r="A37" s="11">
        <v>36</v>
      </c>
      <c r="B37" s="16">
        <v>73750</v>
      </c>
    </row>
    <row r="38" spans="1:2">
      <c r="A38" s="8">
        <v>37</v>
      </c>
      <c r="B38" s="15">
        <v>113680</v>
      </c>
    </row>
    <row r="39" spans="1:2">
      <c r="A39" s="11">
        <v>38</v>
      </c>
      <c r="B39" s="16">
        <v>83500</v>
      </c>
    </row>
    <row r="40" spans="1:2">
      <c r="A40" s="8">
        <v>39</v>
      </c>
      <c r="B40" s="15">
        <v>127900</v>
      </c>
    </row>
    <row r="41" spans="1:2">
      <c r="A41" s="11">
        <v>40</v>
      </c>
      <c r="B41" s="16">
        <v>100420</v>
      </c>
    </row>
    <row r="42" spans="1:2">
      <c r="A42" s="8">
        <v>41</v>
      </c>
      <c r="B42" s="15">
        <v>58990</v>
      </c>
    </row>
    <row r="43" spans="1:2">
      <c r="A43" s="11">
        <v>42</v>
      </c>
      <c r="B43" s="16">
        <v>73720</v>
      </c>
    </row>
    <row r="44" spans="1:2">
      <c r="A44" s="8">
        <v>43</v>
      </c>
      <c r="B44" s="15">
        <v>63130</v>
      </c>
    </row>
    <row r="45" spans="1:2">
      <c r="A45" s="11">
        <v>44</v>
      </c>
      <c r="B45" s="16">
        <v>73720</v>
      </c>
    </row>
    <row r="46" spans="1:2">
      <c r="A46" s="8">
        <v>45</v>
      </c>
      <c r="B46" s="15">
        <v>136000</v>
      </c>
    </row>
    <row r="47" spans="1:2">
      <c r="A47" s="11">
        <v>46</v>
      </c>
      <c r="B47" s="16">
        <v>103240</v>
      </c>
    </row>
    <row r="48" spans="1:2">
      <c r="A48" s="8">
        <v>47</v>
      </c>
      <c r="B48" s="15">
        <v>73750</v>
      </c>
    </row>
    <row r="49" spans="1:2">
      <c r="A49" s="11">
        <v>48</v>
      </c>
      <c r="B49" s="16">
        <v>113680</v>
      </c>
    </row>
    <row r="50" spans="1:2">
      <c r="A50" s="8">
        <v>49</v>
      </c>
      <c r="B50" s="15">
        <v>103240</v>
      </c>
    </row>
    <row r="51" spans="1:2">
      <c r="A51" s="11">
        <v>50</v>
      </c>
      <c r="B51" s="16">
        <v>66700</v>
      </c>
    </row>
    <row r="52" spans="1:2">
      <c r="A52" s="8">
        <v>51</v>
      </c>
      <c r="B52" s="15">
        <v>86500</v>
      </c>
    </row>
    <row r="53" spans="1:2">
      <c r="A53" s="11">
        <v>52</v>
      </c>
      <c r="B53" s="16">
        <v>83500</v>
      </c>
    </row>
    <row r="54" spans="1:2">
      <c r="A54" s="8">
        <v>53</v>
      </c>
      <c r="B54" s="15">
        <v>92650</v>
      </c>
    </row>
    <row r="55" spans="1:2">
      <c r="A55" s="11">
        <v>54</v>
      </c>
      <c r="B55" s="16">
        <v>73000</v>
      </c>
    </row>
    <row r="56" spans="1:2">
      <c r="A56" s="8">
        <v>55</v>
      </c>
      <c r="B56" s="15">
        <v>75400</v>
      </c>
    </row>
    <row r="57" spans="1:2">
      <c r="A57" s="11">
        <v>56</v>
      </c>
      <c r="B57" s="16">
        <v>186556</v>
      </c>
    </row>
    <row r="58" spans="1:2">
      <c r="A58" s="8">
        <v>57</v>
      </c>
      <c r="B58" s="15">
        <v>94720</v>
      </c>
    </row>
    <row r="59" spans="1:2">
      <c r="A59" s="11">
        <v>58</v>
      </c>
      <c r="B59" s="16">
        <v>154780</v>
      </c>
    </row>
    <row r="60" spans="1:2">
      <c r="A60" s="8">
        <v>59</v>
      </c>
      <c r="B60" s="15">
        <v>83074</v>
      </c>
    </row>
    <row r="61" spans="1:2">
      <c r="A61" s="11">
        <v>60</v>
      </c>
      <c r="B61" s="16">
        <v>63130</v>
      </c>
    </row>
    <row r="62" spans="1:2">
      <c r="A62" s="8">
        <v>61</v>
      </c>
      <c r="B62" s="15">
        <v>94729</v>
      </c>
    </row>
    <row r="63" spans="1:2">
      <c r="A63" s="11">
        <v>62</v>
      </c>
      <c r="B63" s="16">
        <v>97690</v>
      </c>
    </row>
    <row r="64" spans="1:2">
      <c r="A64" s="8">
        <v>63</v>
      </c>
      <c r="B64" s="15">
        <v>51940</v>
      </c>
    </row>
    <row r="65" spans="1:2">
      <c r="A65" s="11">
        <v>64</v>
      </c>
      <c r="B65" s="16">
        <v>56995</v>
      </c>
    </row>
    <row r="66" spans="1:2">
      <c r="A66" s="8">
        <v>65</v>
      </c>
      <c r="B66" s="15">
        <v>62920</v>
      </c>
    </row>
    <row r="67" spans="1:2">
      <c r="A67" s="11">
        <v>66</v>
      </c>
      <c r="B67" s="16">
        <v>124822</v>
      </c>
    </row>
    <row r="68" spans="1:2">
      <c r="A68" s="8">
        <v>67</v>
      </c>
      <c r="B68" s="15">
        <v>62920</v>
      </c>
    </row>
    <row r="69" spans="1:2">
      <c r="A69" s="11">
        <v>68</v>
      </c>
      <c r="B69" s="16">
        <v>148864</v>
      </c>
    </row>
    <row r="70" spans="1:2">
      <c r="A70" s="8">
        <v>69</v>
      </c>
      <c r="B70" s="15">
        <v>76018</v>
      </c>
    </row>
    <row r="71" spans="1:2">
      <c r="A71" s="11">
        <v>70</v>
      </c>
      <c r="B71" s="16">
        <v>120250</v>
      </c>
    </row>
    <row r="72" spans="1:2">
      <c r="A72" s="8">
        <v>71</v>
      </c>
      <c r="B72" s="15">
        <v>86500</v>
      </c>
    </row>
    <row r="73" spans="1:2">
      <c r="A73" s="11">
        <v>72</v>
      </c>
      <c r="B73" s="16">
        <v>108976</v>
      </c>
    </row>
    <row r="74" spans="1:2">
      <c r="A74" s="8">
        <v>73</v>
      </c>
      <c r="B74" s="15">
        <v>88726</v>
      </c>
    </row>
    <row r="75" spans="1:2">
      <c r="A75" s="11">
        <v>74</v>
      </c>
      <c r="B75" s="16">
        <v>120100</v>
      </c>
    </row>
    <row r="76" spans="1:2">
      <c r="A76" s="8">
        <v>75</v>
      </c>
      <c r="B76" s="15">
        <v>116440</v>
      </c>
    </row>
    <row r="77" spans="1:2">
      <c r="A77" s="11">
        <v>76</v>
      </c>
      <c r="B77" s="16">
        <v>70726</v>
      </c>
    </row>
    <row r="78" spans="1:2">
      <c r="A78" s="8">
        <v>77</v>
      </c>
      <c r="B78" s="15">
        <v>76018</v>
      </c>
    </row>
    <row r="79" spans="1:2">
      <c r="A79" s="11">
        <v>78</v>
      </c>
      <c r="B79" s="16">
        <v>66760</v>
      </c>
    </row>
    <row r="80" spans="1:2">
      <c r="A80" s="8">
        <v>79</v>
      </c>
      <c r="B80" s="15">
        <v>116440</v>
      </c>
    </row>
    <row r="81" spans="1:2">
      <c r="A81" s="11">
        <v>80</v>
      </c>
      <c r="B81" s="16">
        <v>53254</v>
      </c>
    </row>
    <row r="82" spans="1:2">
      <c r="A82" s="8">
        <v>81</v>
      </c>
      <c r="B82" s="15">
        <v>154780</v>
      </c>
    </row>
    <row r="83" spans="1:2">
      <c r="A83" s="11">
        <v>82</v>
      </c>
      <c r="B83" s="16">
        <v>73900</v>
      </c>
    </row>
    <row r="84" spans="1:2">
      <c r="A84" s="8">
        <v>83</v>
      </c>
      <c r="B84" s="15">
        <v>120100</v>
      </c>
    </row>
    <row r="85" spans="1:2">
      <c r="A85" s="11">
        <v>84</v>
      </c>
      <c r="B85" s="16">
        <v>75400</v>
      </c>
    </row>
    <row r="86" spans="1:2">
      <c r="A86" s="8">
        <v>85</v>
      </c>
      <c r="B86" s="15">
        <v>76120</v>
      </c>
    </row>
    <row r="87" spans="1:2">
      <c r="A87" s="11">
        <v>86</v>
      </c>
      <c r="B87" s="16">
        <v>59944</v>
      </c>
    </row>
    <row r="88" spans="1:2">
      <c r="A88" s="8">
        <v>87</v>
      </c>
      <c r="B88" s="15">
        <v>94729</v>
      </c>
    </row>
    <row r="89" spans="1:2">
      <c r="A89" s="11">
        <v>88</v>
      </c>
      <c r="B89" s="16">
        <v>73900</v>
      </c>
    </row>
    <row r="90" spans="1:2">
      <c r="A90" s="8">
        <v>89</v>
      </c>
      <c r="B90" s="15">
        <v>58990</v>
      </c>
    </row>
    <row r="91" spans="1:2">
      <c r="A91" s="11">
        <v>90</v>
      </c>
      <c r="B91" s="16">
        <v>84316</v>
      </c>
    </row>
    <row r="92" spans="1:2">
      <c r="A92" s="8">
        <v>91</v>
      </c>
      <c r="B92" s="15">
        <v>76120</v>
      </c>
    </row>
    <row r="93" spans="1:2">
      <c r="A93" s="11">
        <v>92</v>
      </c>
      <c r="B93" s="16">
        <v>125044</v>
      </c>
    </row>
    <row r="94" spans="1:2">
      <c r="A94" s="8">
        <v>93</v>
      </c>
      <c r="B94" s="15">
        <v>73930</v>
      </c>
    </row>
    <row r="95" spans="1:2">
      <c r="A95" s="11">
        <v>94</v>
      </c>
      <c r="B95" s="16">
        <v>81838</v>
      </c>
    </row>
    <row r="96" spans="1:2">
      <c r="A96" s="8">
        <v>95</v>
      </c>
      <c r="B96" s="15">
        <v>120250</v>
      </c>
    </row>
    <row r="97" spans="1:2">
      <c r="A97" s="11">
        <v>96</v>
      </c>
      <c r="B97" s="16">
        <v>174340</v>
      </c>
    </row>
    <row r="98" spans="1:2">
      <c r="A98" s="8">
        <v>97</v>
      </c>
      <c r="B98" s="15">
        <v>51940</v>
      </c>
    </row>
    <row r="99" spans="1:2">
      <c r="A99" s="11">
        <v>98</v>
      </c>
      <c r="B99" s="16">
        <v>73930</v>
      </c>
    </row>
    <row r="100" spans="1:2">
      <c r="A100" s="8">
        <v>99</v>
      </c>
      <c r="B100" s="15">
        <v>118330</v>
      </c>
    </row>
    <row r="101" spans="1:2">
      <c r="A101" s="11">
        <v>100</v>
      </c>
      <c r="B101" s="16">
        <v>94720</v>
      </c>
    </row>
    <row r="102" spans="1:2">
      <c r="A102" s="8">
        <v>101</v>
      </c>
      <c r="B102" s="15">
        <v>68864</v>
      </c>
    </row>
    <row r="103" spans="1:2">
      <c r="A103" s="11">
        <v>102</v>
      </c>
      <c r="B103" s="16">
        <v>76600</v>
      </c>
    </row>
    <row r="104" spans="1:2">
      <c r="A104" s="8">
        <v>103</v>
      </c>
      <c r="B104" s="15">
        <v>84316</v>
      </c>
    </row>
    <row r="105" spans="1:2">
      <c r="A105" s="11">
        <v>104</v>
      </c>
      <c r="B105" s="16">
        <v>76600</v>
      </c>
    </row>
    <row r="106" spans="1:2">
      <c r="A106" s="8">
        <v>105</v>
      </c>
      <c r="B106" s="15">
        <v>127900</v>
      </c>
    </row>
    <row r="107" spans="1:2">
      <c r="A107" s="11">
        <v>106</v>
      </c>
      <c r="B107" s="16">
        <v>136000</v>
      </c>
    </row>
    <row r="108" spans="1:2">
      <c r="A108" s="8">
        <v>107</v>
      </c>
      <c r="B108" s="15">
        <v>53650</v>
      </c>
    </row>
    <row r="109" spans="1:2">
      <c r="A109" s="11">
        <v>108</v>
      </c>
      <c r="B109" s="16">
        <v>81838</v>
      </c>
    </row>
    <row r="110" spans="1:2">
      <c r="A110" s="8">
        <v>109</v>
      </c>
      <c r="B110" s="15">
        <v>66700</v>
      </c>
    </row>
    <row r="111" spans="1:2">
      <c r="A111" s="11">
        <v>110</v>
      </c>
      <c r="B111" s="16">
        <v>138010</v>
      </c>
    </row>
    <row r="112" spans="1:2">
      <c r="A112" s="8">
        <v>111</v>
      </c>
      <c r="B112" s="15">
        <v>91996</v>
      </c>
    </row>
    <row r="113" spans="1:2">
      <c r="A113" s="11">
        <v>112</v>
      </c>
      <c r="B113" s="16">
        <v>92290</v>
      </c>
    </row>
    <row r="114" spans="1:2">
      <c r="A114" s="8">
        <v>113</v>
      </c>
      <c r="B114" s="15">
        <v>74200</v>
      </c>
    </row>
    <row r="115" spans="1:2">
      <c r="A115" s="11">
        <v>114</v>
      </c>
      <c r="B115" s="16">
        <v>88726</v>
      </c>
    </row>
    <row r="116" spans="1:2">
      <c r="A116" s="8">
        <v>115</v>
      </c>
      <c r="B116" s="15">
        <v>53650</v>
      </c>
    </row>
    <row r="117" spans="1:2">
      <c r="A117" s="11">
        <v>116</v>
      </c>
      <c r="B117" s="16">
        <v>53254</v>
      </c>
    </row>
    <row r="118" spans="1:2">
      <c r="A118" s="8">
        <v>117</v>
      </c>
      <c r="B118" s="15">
        <v>83074</v>
      </c>
    </row>
    <row r="119" spans="1:2">
      <c r="A119" s="11">
        <v>118</v>
      </c>
      <c r="B119" s="16">
        <v>124822</v>
      </c>
    </row>
    <row r="120" spans="1:2">
      <c r="A120" s="8">
        <v>119</v>
      </c>
      <c r="B120" s="15">
        <v>138010</v>
      </c>
    </row>
    <row r="121" spans="1:2">
      <c r="A121" s="11">
        <v>120</v>
      </c>
      <c r="B121" s="16">
        <v>98976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238-6474-46A8-87F1-1978568EE85F}">
  <dimension ref="A1:C121"/>
  <sheetViews>
    <sheetView workbookViewId="0">
      <selection activeCell="B1" sqref="B1"/>
    </sheetView>
  </sheetViews>
  <sheetFormatPr defaultRowHeight="15"/>
  <cols>
    <col min="1" max="1" width="7.7109375" customWidth="1"/>
    <col min="2" max="2" width="23.42578125" customWidth="1"/>
    <col min="3" max="3" width="23.140625" customWidth="1"/>
  </cols>
  <sheetData>
    <row r="1" spans="1:3">
      <c r="A1" s="6" t="s">
        <v>0</v>
      </c>
      <c r="B1" s="7" t="s">
        <v>10</v>
      </c>
      <c r="C1" s="7" t="s">
        <v>11</v>
      </c>
    </row>
    <row r="2" spans="1:3">
      <c r="A2" s="8">
        <v>1</v>
      </c>
      <c r="B2" s="9" t="s">
        <v>21</v>
      </c>
      <c r="C2" s="9" t="s">
        <v>22</v>
      </c>
    </row>
    <row r="3" spans="1:3">
      <c r="A3" s="11">
        <v>2</v>
      </c>
      <c r="B3" s="12" t="s">
        <v>21</v>
      </c>
      <c r="C3" s="12" t="s">
        <v>22</v>
      </c>
    </row>
    <row r="4" spans="1:3">
      <c r="A4" s="8">
        <v>3</v>
      </c>
      <c r="B4" s="9" t="s">
        <v>32</v>
      </c>
      <c r="C4" s="9" t="s">
        <v>33</v>
      </c>
    </row>
    <row r="5" spans="1:3">
      <c r="A5" s="11">
        <v>4</v>
      </c>
      <c r="B5" s="12" t="s">
        <v>32</v>
      </c>
      <c r="C5" s="12" t="s">
        <v>38</v>
      </c>
    </row>
    <row r="6" spans="1:3">
      <c r="A6" s="8">
        <v>5</v>
      </c>
      <c r="B6" s="9" t="s">
        <v>32</v>
      </c>
      <c r="C6" s="9" t="s">
        <v>33</v>
      </c>
    </row>
    <row r="7" spans="1:3">
      <c r="A7" s="11">
        <v>6</v>
      </c>
      <c r="B7" s="12" t="s">
        <v>46</v>
      </c>
      <c r="C7" s="12" t="s">
        <v>47</v>
      </c>
    </row>
    <row r="8" spans="1:3">
      <c r="A8" s="8">
        <v>7</v>
      </c>
      <c r="B8" s="9" t="s">
        <v>21</v>
      </c>
      <c r="C8" s="9" t="s">
        <v>22</v>
      </c>
    </row>
    <row r="9" spans="1:3">
      <c r="A9" s="11">
        <v>8</v>
      </c>
      <c r="B9" s="12" t="s">
        <v>32</v>
      </c>
      <c r="C9" s="12" t="s">
        <v>55</v>
      </c>
    </row>
    <row r="10" spans="1:3">
      <c r="A10" s="8">
        <v>9</v>
      </c>
      <c r="B10" s="9" t="s">
        <v>32</v>
      </c>
      <c r="C10" s="9" t="s">
        <v>33</v>
      </c>
    </row>
    <row r="11" spans="1:3">
      <c r="A11" s="11">
        <v>10</v>
      </c>
      <c r="B11" s="12" t="s">
        <v>32</v>
      </c>
      <c r="C11" s="12" t="s">
        <v>33</v>
      </c>
    </row>
    <row r="12" spans="1:3">
      <c r="A12" s="8">
        <v>11</v>
      </c>
      <c r="B12" s="9" t="s">
        <v>46</v>
      </c>
      <c r="C12" s="9" t="s">
        <v>47</v>
      </c>
    </row>
    <row r="13" spans="1:3">
      <c r="A13" s="11">
        <v>12</v>
      </c>
      <c r="B13" s="12" t="s">
        <v>68</v>
      </c>
      <c r="C13" s="12" t="s">
        <v>69</v>
      </c>
    </row>
    <row r="14" spans="1:3">
      <c r="A14" s="8">
        <v>13</v>
      </c>
      <c r="B14" s="9" t="s">
        <v>21</v>
      </c>
      <c r="C14" s="9" t="s">
        <v>22</v>
      </c>
    </row>
    <row r="15" spans="1:3">
      <c r="A15" s="11">
        <v>14</v>
      </c>
      <c r="B15" s="12" t="s">
        <v>21</v>
      </c>
      <c r="C15" s="12" t="s">
        <v>22</v>
      </c>
    </row>
    <row r="16" spans="1:3">
      <c r="A16" s="8">
        <v>15</v>
      </c>
      <c r="B16" s="9" t="s">
        <v>32</v>
      </c>
      <c r="C16" s="9" t="s">
        <v>78</v>
      </c>
    </row>
    <row r="17" spans="1:3">
      <c r="A17" s="11">
        <v>16</v>
      </c>
      <c r="B17" s="12" t="s">
        <v>21</v>
      </c>
      <c r="C17" s="12" t="s">
        <v>22</v>
      </c>
    </row>
    <row r="18" spans="1:3">
      <c r="A18" s="8">
        <v>17</v>
      </c>
      <c r="B18" s="9" t="s">
        <v>32</v>
      </c>
      <c r="C18" s="9" t="s">
        <v>78</v>
      </c>
    </row>
    <row r="19" spans="1:3">
      <c r="A19" s="11">
        <v>18</v>
      </c>
      <c r="B19" s="12" t="s">
        <v>87</v>
      </c>
      <c r="C19" s="12" t="s">
        <v>88</v>
      </c>
    </row>
    <row r="20" spans="1:3">
      <c r="A20" s="8">
        <v>19</v>
      </c>
      <c r="B20" s="9" t="s">
        <v>32</v>
      </c>
      <c r="C20" s="9" t="s">
        <v>78</v>
      </c>
    </row>
    <row r="21" spans="1:3">
      <c r="A21" s="11">
        <v>20</v>
      </c>
      <c r="B21" s="12" t="s">
        <v>21</v>
      </c>
      <c r="C21" s="12" t="s">
        <v>94</v>
      </c>
    </row>
    <row r="22" spans="1:3">
      <c r="A22" s="8">
        <v>21</v>
      </c>
      <c r="B22" s="9" t="s">
        <v>21</v>
      </c>
      <c r="C22" s="9" t="s">
        <v>22</v>
      </c>
    </row>
    <row r="23" spans="1:3">
      <c r="A23" s="11">
        <v>22</v>
      </c>
      <c r="B23" s="12" t="s">
        <v>21</v>
      </c>
      <c r="C23" s="12" t="s">
        <v>22</v>
      </c>
    </row>
    <row r="24" spans="1:3">
      <c r="A24" s="8">
        <v>23</v>
      </c>
      <c r="B24" s="9" t="s">
        <v>32</v>
      </c>
      <c r="C24" s="9" t="s">
        <v>78</v>
      </c>
    </row>
    <row r="25" spans="1:3">
      <c r="A25" s="11">
        <v>24</v>
      </c>
      <c r="B25" s="12" t="s">
        <v>21</v>
      </c>
      <c r="C25" s="12" t="s">
        <v>22</v>
      </c>
    </row>
    <row r="26" spans="1:3">
      <c r="A26" s="8">
        <v>25</v>
      </c>
      <c r="B26" s="9" t="s">
        <v>32</v>
      </c>
      <c r="C26" s="9" t="s">
        <v>78</v>
      </c>
    </row>
    <row r="27" spans="1:3">
      <c r="A27" s="11">
        <v>26</v>
      </c>
      <c r="B27" s="12" t="s">
        <v>32</v>
      </c>
      <c r="C27" s="12" t="s">
        <v>78</v>
      </c>
    </row>
    <row r="28" spans="1:3">
      <c r="A28" s="8">
        <v>27</v>
      </c>
      <c r="B28" s="9" t="s">
        <v>32</v>
      </c>
      <c r="C28" s="9" t="s">
        <v>33</v>
      </c>
    </row>
    <row r="29" spans="1:3">
      <c r="A29" s="11">
        <v>28</v>
      </c>
      <c r="B29" s="12" t="s">
        <v>21</v>
      </c>
      <c r="C29" s="12" t="s">
        <v>22</v>
      </c>
    </row>
    <row r="30" spans="1:3">
      <c r="A30" s="8">
        <v>29</v>
      </c>
      <c r="B30" s="9" t="s">
        <v>32</v>
      </c>
      <c r="C30" s="9" t="s">
        <v>78</v>
      </c>
    </row>
    <row r="31" spans="1:3">
      <c r="A31" s="11">
        <v>30</v>
      </c>
      <c r="B31" s="12" t="s">
        <v>21</v>
      </c>
      <c r="C31" s="12" t="s">
        <v>22</v>
      </c>
    </row>
    <row r="32" spans="1:3">
      <c r="A32" s="8">
        <v>31</v>
      </c>
      <c r="B32" s="9" t="s">
        <v>87</v>
      </c>
      <c r="C32" s="9" t="s">
        <v>88</v>
      </c>
    </row>
    <row r="33" spans="1:3">
      <c r="A33" s="11">
        <v>32</v>
      </c>
      <c r="B33" s="12" t="s">
        <v>32</v>
      </c>
      <c r="C33" s="12" t="s">
        <v>124</v>
      </c>
    </row>
    <row r="34" spans="1:3">
      <c r="A34" s="8">
        <v>33</v>
      </c>
      <c r="B34" s="9" t="s">
        <v>68</v>
      </c>
      <c r="C34" s="9" t="s">
        <v>88</v>
      </c>
    </row>
    <row r="35" spans="1:3">
      <c r="A35" s="11">
        <v>34</v>
      </c>
      <c r="B35" s="12" t="s">
        <v>32</v>
      </c>
      <c r="C35" s="12" t="s">
        <v>33</v>
      </c>
    </row>
    <row r="36" spans="1:3">
      <c r="A36" s="8">
        <v>35</v>
      </c>
      <c r="B36" s="9" t="s">
        <v>21</v>
      </c>
      <c r="C36" s="9" t="s">
        <v>22</v>
      </c>
    </row>
    <row r="37" spans="1:3">
      <c r="A37" s="11">
        <v>36</v>
      </c>
      <c r="B37" s="12" t="s">
        <v>46</v>
      </c>
      <c r="C37" s="12" t="s">
        <v>47</v>
      </c>
    </row>
    <row r="38" spans="1:3">
      <c r="A38" s="8">
        <v>37</v>
      </c>
      <c r="B38" s="9" t="s">
        <v>21</v>
      </c>
      <c r="C38" s="9" t="s">
        <v>22</v>
      </c>
    </row>
    <row r="39" spans="1:3">
      <c r="A39" s="11">
        <v>38</v>
      </c>
      <c r="B39" s="12" t="s">
        <v>46</v>
      </c>
      <c r="C39" s="12" t="s">
        <v>47</v>
      </c>
    </row>
    <row r="40" spans="1:3">
      <c r="A40" s="8">
        <v>39</v>
      </c>
      <c r="B40" s="9" t="s">
        <v>21</v>
      </c>
      <c r="C40" s="9" t="s">
        <v>22</v>
      </c>
    </row>
    <row r="41" spans="1:3">
      <c r="A41" s="11">
        <v>40</v>
      </c>
      <c r="B41" s="12" t="s">
        <v>21</v>
      </c>
      <c r="C41" s="12" t="s">
        <v>22</v>
      </c>
    </row>
    <row r="42" spans="1:3">
      <c r="A42" s="8">
        <v>41</v>
      </c>
      <c r="B42" s="9" t="s">
        <v>149</v>
      </c>
      <c r="C42" s="9" t="s">
        <v>22</v>
      </c>
    </row>
    <row r="43" spans="1:3">
      <c r="A43" s="11">
        <v>42</v>
      </c>
      <c r="B43" s="12" t="s">
        <v>32</v>
      </c>
      <c r="C43" s="12" t="s">
        <v>78</v>
      </c>
    </row>
    <row r="44" spans="1:3">
      <c r="A44" s="8">
        <v>43</v>
      </c>
      <c r="B44" s="9" t="s">
        <v>32</v>
      </c>
      <c r="C44" s="9" t="s">
        <v>33</v>
      </c>
    </row>
    <row r="45" spans="1:3">
      <c r="A45" s="11">
        <v>44</v>
      </c>
      <c r="B45" s="12" t="s">
        <v>32</v>
      </c>
      <c r="C45" s="12" t="s">
        <v>55</v>
      </c>
    </row>
    <row r="46" spans="1:3">
      <c r="A46" s="8">
        <v>45</v>
      </c>
      <c r="B46" s="9" t="s">
        <v>32</v>
      </c>
      <c r="C46" s="9" t="s">
        <v>33</v>
      </c>
    </row>
    <row r="47" spans="1:3">
      <c r="A47" s="11">
        <v>46</v>
      </c>
      <c r="B47" s="12" t="s">
        <v>32</v>
      </c>
      <c r="C47" s="12" t="s">
        <v>33</v>
      </c>
    </row>
    <row r="48" spans="1:3">
      <c r="A48" s="8">
        <v>47</v>
      </c>
      <c r="B48" s="9" t="s">
        <v>46</v>
      </c>
      <c r="C48" s="9" t="s">
        <v>47</v>
      </c>
    </row>
    <row r="49" spans="1:3">
      <c r="A49" s="11">
        <v>48</v>
      </c>
      <c r="B49" s="12" t="s">
        <v>21</v>
      </c>
      <c r="C49" s="12" t="s">
        <v>22</v>
      </c>
    </row>
    <row r="50" spans="1:3">
      <c r="A50" s="8">
        <v>49</v>
      </c>
      <c r="B50" s="9" t="s">
        <v>32</v>
      </c>
      <c r="C50" s="9" t="s">
        <v>33</v>
      </c>
    </row>
    <row r="51" spans="1:3">
      <c r="A51" s="11">
        <v>50</v>
      </c>
      <c r="B51" s="12" t="s">
        <v>68</v>
      </c>
      <c r="C51" s="12" t="s">
        <v>69</v>
      </c>
    </row>
    <row r="52" spans="1:3">
      <c r="A52" s="8">
        <v>51</v>
      </c>
      <c r="B52" s="9" t="s">
        <v>21</v>
      </c>
      <c r="C52" s="9" t="s">
        <v>94</v>
      </c>
    </row>
    <row r="53" spans="1:3">
      <c r="A53" s="11">
        <v>52</v>
      </c>
      <c r="B53" s="12" t="s">
        <v>46</v>
      </c>
      <c r="C53" s="12" t="s">
        <v>47</v>
      </c>
    </row>
    <row r="54" spans="1:3">
      <c r="A54" s="8">
        <v>53</v>
      </c>
      <c r="B54" s="9" t="s">
        <v>46</v>
      </c>
      <c r="C54" s="9" t="s">
        <v>174</v>
      </c>
    </row>
    <row r="55" spans="1:3">
      <c r="A55" s="11">
        <v>54</v>
      </c>
      <c r="B55" s="12" t="s">
        <v>21</v>
      </c>
      <c r="C55" s="12" t="s">
        <v>94</v>
      </c>
    </row>
    <row r="56" spans="1:3">
      <c r="A56" s="8">
        <v>55</v>
      </c>
      <c r="B56" s="9" t="s">
        <v>32</v>
      </c>
      <c r="C56" s="9" t="s">
        <v>55</v>
      </c>
    </row>
    <row r="57" spans="1:3">
      <c r="A57" s="11">
        <v>56</v>
      </c>
      <c r="B57" s="12" t="s">
        <v>32</v>
      </c>
      <c r="C57" s="12" t="s">
        <v>38</v>
      </c>
    </row>
    <row r="58" spans="1:3">
      <c r="A58" s="8">
        <v>57</v>
      </c>
      <c r="B58" s="9" t="s">
        <v>32</v>
      </c>
      <c r="C58" s="9" t="s">
        <v>33</v>
      </c>
    </row>
    <row r="59" spans="1:3">
      <c r="A59" s="11">
        <v>58</v>
      </c>
      <c r="B59" s="12" t="s">
        <v>68</v>
      </c>
      <c r="C59" s="12" t="s">
        <v>69</v>
      </c>
    </row>
    <row r="60" spans="1:3">
      <c r="A60" s="8">
        <v>59</v>
      </c>
      <c r="B60" s="9" t="s">
        <v>32</v>
      </c>
      <c r="C60" s="9" t="s">
        <v>33</v>
      </c>
    </row>
    <row r="61" spans="1:3">
      <c r="A61" s="11">
        <v>60</v>
      </c>
      <c r="B61" s="12" t="s">
        <v>32</v>
      </c>
      <c r="C61" s="12" t="s">
        <v>55</v>
      </c>
    </row>
    <row r="62" spans="1:3">
      <c r="A62" s="8">
        <v>61</v>
      </c>
      <c r="B62" s="9" t="s">
        <v>32</v>
      </c>
      <c r="C62" s="9" t="s">
        <v>33</v>
      </c>
    </row>
    <row r="63" spans="1:3">
      <c r="A63" s="11">
        <v>62</v>
      </c>
      <c r="B63" s="12" t="s">
        <v>46</v>
      </c>
      <c r="C63" s="12" t="s">
        <v>47</v>
      </c>
    </row>
    <row r="64" spans="1:3">
      <c r="A64" s="8">
        <v>63</v>
      </c>
      <c r="B64" s="9" t="s">
        <v>21</v>
      </c>
      <c r="C64" s="9" t="s">
        <v>22</v>
      </c>
    </row>
    <row r="65" spans="1:3">
      <c r="A65" s="11">
        <v>64</v>
      </c>
      <c r="B65" s="12" t="s">
        <v>32</v>
      </c>
      <c r="C65" s="12" t="s">
        <v>33</v>
      </c>
    </row>
    <row r="66" spans="1:3">
      <c r="A66" s="8">
        <v>65</v>
      </c>
      <c r="B66" s="9" t="s">
        <v>32</v>
      </c>
      <c r="C66" s="9" t="s">
        <v>55</v>
      </c>
    </row>
    <row r="67" spans="1:3">
      <c r="A67" s="11">
        <v>66</v>
      </c>
      <c r="B67" s="12" t="s">
        <v>21</v>
      </c>
      <c r="C67" s="12" t="s">
        <v>22</v>
      </c>
    </row>
    <row r="68" spans="1:3">
      <c r="A68" s="8">
        <v>67</v>
      </c>
      <c r="B68" s="9" t="s">
        <v>32</v>
      </c>
      <c r="C68" s="9" t="s">
        <v>33</v>
      </c>
    </row>
    <row r="69" spans="1:3">
      <c r="A69" s="11">
        <v>68</v>
      </c>
      <c r="B69" s="12" t="s">
        <v>149</v>
      </c>
      <c r="C69" s="12" t="s">
        <v>22</v>
      </c>
    </row>
    <row r="70" spans="1:3">
      <c r="A70" s="8">
        <v>69</v>
      </c>
      <c r="B70" s="9" t="s">
        <v>46</v>
      </c>
      <c r="C70" s="9" t="s">
        <v>47</v>
      </c>
    </row>
    <row r="71" spans="1:3">
      <c r="A71" s="11">
        <v>70</v>
      </c>
      <c r="B71" s="12" t="s">
        <v>32</v>
      </c>
      <c r="C71" s="12" t="s">
        <v>33</v>
      </c>
    </row>
    <row r="72" spans="1:3">
      <c r="A72" s="8">
        <v>71</v>
      </c>
      <c r="B72" s="9" t="s">
        <v>21</v>
      </c>
      <c r="C72" s="9" t="s">
        <v>94</v>
      </c>
    </row>
    <row r="73" spans="1:3">
      <c r="A73" s="11">
        <v>72</v>
      </c>
      <c r="B73" s="12" t="s">
        <v>32</v>
      </c>
      <c r="C73" s="12" t="s">
        <v>33</v>
      </c>
    </row>
    <row r="74" spans="1:3">
      <c r="A74" s="8">
        <v>73</v>
      </c>
      <c r="B74" s="9" t="s">
        <v>46</v>
      </c>
      <c r="C74" s="9" t="s">
        <v>174</v>
      </c>
    </row>
    <row r="75" spans="1:3">
      <c r="A75" s="11">
        <v>74</v>
      </c>
      <c r="B75" s="12" t="s">
        <v>87</v>
      </c>
      <c r="C75" s="12" t="s">
        <v>88</v>
      </c>
    </row>
    <row r="76" spans="1:3">
      <c r="A76" s="8">
        <v>75</v>
      </c>
      <c r="B76" s="9" t="s">
        <v>46</v>
      </c>
      <c r="C76" s="9" t="s">
        <v>47</v>
      </c>
    </row>
    <row r="77" spans="1:3">
      <c r="A77" s="11">
        <v>76</v>
      </c>
      <c r="B77" s="12" t="s">
        <v>21</v>
      </c>
      <c r="C77" s="12" t="s">
        <v>22</v>
      </c>
    </row>
    <row r="78" spans="1:3">
      <c r="A78" s="8">
        <v>77</v>
      </c>
      <c r="B78" s="9" t="s">
        <v>46</v>
      </c>
      <c r="C78" s="9" t="s">
        <v>47</v>
      </c>
    </row>
    <row r="79" spans="1:3">
      <c r="A79" s="11">
        <v>78</v>
      </c>
      <c r="B79" s="12" t="s">
        <v>21</v>
      </c>
      <c r="C79" s="12" t="s">
        <v>22</v>
      </c>
    </row>
    <row r="80" spans="1:3">
      <c r="A80" s="8">
        <v>79</v>
      </c>
      <c r="B80" s="9" t="s">
        <v>46</v>
      </c>
      <c r="C80" s="9" t="s">
        <v>47</v>
      </c>
    </row>
    <row r="81" spans="1:3">
      <c r="A81" s="11">
        <v>80</v>
      </c>
      <c r="B81" s="12" t="s">
        <v>21</v>
      </c>
      <c r="C81" s="12" t="s">
        <v>22</v>
      </c>
    </row>
    <row r="82" spans="1:3">
      <c r="A82" s="8">
        <v>81</v>
      </c>
      <c r="B82" s="9" t="s">
        <v>32</v>
      </c>
      <c r="C82" s="9" t="s">
        <v>78</v>
      </c>
    </row>
    <row r="83" spans="1:3">
      <c r="A83" s="11">
        <v>82</v>
      </c>
      <c r="B83" s="12" t="s">
        <v>32</v>
      </c>
      <c r="C83" s="12" t="s">
        <v>33</v>
      </c>
    </row>
    <row r="84" spans="1:3">
      <c r="A84" s="8">
        <v>83</v>
      </c>
      <c r="B84" s="9" t="s">
        <v>87</v>
      </c>
      <c r="C84" s="9" t="s">
        <v>88</v>
      </c>
    </row>
    <row r="85" spans="1:3">
      <c r="A85" s="11">
        <v>84</v>
      </c>
      <c r="B85" s="12" t="s">
        <v>32</v>
      </c>
      <c r="C85" s="12" t="s">
        <v>33</v>
      </c>
    </row>
    <row r="86" spans="1:3">
      <c r="A86" s="8">
        <v>85</v>
      </c>
      <c r="B86" s="9" t="s">
        <v>32</v>
      </c>
      <c r="C86" s="9" t="s">
        <v>55</v>
      </c>
    </row>
    <row r="87" spans="1:3">
      <c r="A87" s="11">
        <v>86</v>
      </c>
      <c r="B87" s="12" t="s">
        <v>21</v>
      </c>
      <c r="C87" s="12" t="s">
        <v>94</v>
      </c>
    </row>
    <row r="88" spans="1:3">
      <c r="A88" s="8">
        <v>87</v>
      </c>
      <c r="B88" s="9" t="s">
        <v>32</v>
      </c>
      <c r="C88" s="9" t="s">
        <v>33</v>
      </c>
    </row>
    <row r="89" spans="1:3">
      <c r="A89" s="11">
        <v>88</v>
      </c>
      <c r="B89" s="12" t="s">
        <v>32</v>
      </c>
      <c r="C89" s="12" t="s">
        <v>55</v>
      </c>
    </row>
    <row r="90" spans="1:3">
      <c r="A90" s="8">
        <v>89</v>
      </c>
      <c r="B90" s="9" t="s">
        <v>149</v>
      </c>
      <c r="C90" s="9" t="s">
        <v>22</v>
      </c>
    </row>
    <row r="91" spans="1:3">
      <c r="A91" s="11">
        <v>90</v>
      </c>
      <c r="B91" s="12" t="s">
        <v>32</v>
      </c>
      <c r="C91" s="12" t="s">
        <v>33</v>
      </c>
    </row>
    <row r="92" spans="1:3">
      <c r="A92" s="8">
        <v>91</v>
      </c>
      <c r="B92" s="9" t="s">
        <v>32</v>
      </c>
      <c r="C92" s="9" t="s">
        <v>55</v>
      </c>
    </row>
    <row r="93" spans="1:3">
      <c r="A93" s="11">
        <v>92</v>
      </c>
      <c r="B93" s="12" t="s">
        <v>32</v>
      </c>
      <c r="C93" s="12" t="s">
        <v>78</v>
      </c>
    </row>
    <row r="94" spans="1:3">
      <c r="A94" s="8">
        <v>93</v>
      </c>
      <c r="B94" s="9" t="s">
        <v>32</v>
      </c>
      <c r="C94" s="9" t="s">
        <v>78</v>
      </c>
    </row>
    <row r="95" spans="1:3">
      <c r="A95" s="11">
        <v>94</v>
      </c>
      <c r="B95" s="12" t="s">
        <v>149</v>
      </c>
      <c r="C95" s="12" t="s">
        <v>22</v>
      </c>
    </row>
    <row r="96" spans="1:3">
      <c r="A96" s="8">
        <v>95</v>
      </c>
      <c r="B96" s="9" t="s">
        <v>32</v>
      </c>
      <c r="C96" s="9" t="s">
        <v>33</v>
      </c>
    </row>
    <row r="97" spans="1:3">
      <c r="A97" s="11">
        <v>96</v>
      </c>
      <c r="B97" s="12" t="s">
        <v>32</v>
      </c>
      <c r="C97" s="12" t="s">
        <v>33</v>
      </c>
    </row>
    <row r="98" spans="1:3">
      <c r="A98" s="8">
        <v>97</v>
      </c>
      <c r="B98" s="9" t="s">
        <v>21</v>
      </c>
      <c r="C98" s="9" t="s">
        <v>22</v>
      </c>
    </row>
    <row r="99" spans="1:3">
      <c r="A99" s="11">
        <v>98</v>
      </c>
      <c r="B99" s="12" t="s">
        <v>32</v>
      </c>
      <c r="C99" s="12" t="s">
        <v>55</v>
      </c>
    </row>
    <row r="100" spans="1:3">
      <c r="A100" s="8">
        <v>99</v>
      </c>
      <c r="B100" s="9" t="s">
        <v>32</v>
      </c>
      <c r="C100" s="9" t="s">
        <v>33</v>
      </c>
    </row>
    <row r="101" spans="1:3">
      <c r="A101" s="11">
        <v>100</v>
      </c>
      <c r="B101" s="12" t="s">
        <v>32</v>
      </c>
      <c r="C101" s="12" t="s">
        <v>33</v>
      </c>
    </row>
    <row r="102" spans="1:3">
      <c r="A102" s="8">
        <v>101</v>
      </c>
      <c r="B102" s="9" t="s">
        <v>149</v>
      </c>
      <c r="C102" s="9" t="s">
        <v>22</v>
      </c>
    </row>
    <row r="103" spans="1:3">
      <c r="A103" s="11">
        <v>102</v>
      </c>
      <c r="B103" s="12" t="s">
        <v>87</v>
      </c>
      <c r="C103" s="12" t="s">
        <v>88</v>
      </c>
    </row>
    <row r="104" spans="1:3">
      <c r="A104" s="8">
        <v>103</v>
      </c>
      <c r="B104" s="9" t="s">
        <v>32</v>
      </c>
      <c r="C104" s="9" t="s">
        <v>78</v>
      </c>
    </row>
    <row r="105" spans="1:3">
      <c r="A105" s="11">
        <v>104</v>
      </c>
      <c r="B105" s="12" t="s">
        <v>87</v>
      </c>
      <c r="C105" s="12" t="s">
        <v>88</v>
      </c>
    </row>
    <row r="106" spans="1:3">
      <c r="A106" s="8">
        <v>105</v>
      </c>
      <c r="B106" s="9" t="s">
        <v>21</v>
      </c>
      <c r="C106" s="9" t="s">
        <v>22</v>
      </c>
    </row>
    <row r="107" spans="1:3">
      <c r="A107" s="11">
        <v>106</v>
      </c>
      <c r="B107" s="12" t="s">
        <v>32</v>
      </c>
      <c r="C107" s="12" t="s">
        <v>33</v>
      </c>
    </row>
    <row r="108" spans="1:3">
      <c r="A108" s="8">
        <v>107</v>
      </c>
      <c r="B108" s="9" t="s">
        <v>32</v>
      </c>
      <c r="C108" s="9" t="s">
        <v>78</v>
      </c>
    </row>
    <row r="109" spans="1:3">
      <c r="A109" s="11">
        <v>108</v>
      </c>
      <c r="B109" s="12" t="s">
        <v>149</v>
      </c>
      <c r="C109" s="12" t="s">
        <v>94</v>
      </c>
    </row>
    <row r="110" spans="1:3">
      <c r="A110" s="8">
        <v>109</v>
      </c>
      <c r="B110" s="9" t="s">
        <v>68</v>
      </c>
      <c r="C110" s="9" t="s">
        <v>88</v>
      </c>
    </row>
    <row r="111" spans="1:3">
      <c r="A111" s="11">
        <v>110</v>
      </c>
      <c r="B111" s="12" t="s">
        <v>32</v>
      </c>
      <c r="C111" s="12" t="s">
        <v>55</v>
      </c>
    </row>
    <row r="112" spans="1:3">
      <c r="A112" s="8">
        <v>111</v>
      </c>
      <c r="B112" s="9" t="s">
        <v>21</v>
      </c>
      <c r="C112" s="9" t="s">
        <v>22</v>
      </c>
    </row>
    <row r="113" spans="1:3">
      <c r="A113" s="11">
        <v>112</v>
      </c>
      <c r="B113" s="12" t="s">
        <v>32</v>
      </c>
      <c r="C113" s="12" t="s">
        <v>78</v>
      </c>
    </row>
    <row r="114" spans="1:3">
      <c r="A114" s="8">
        <v>113</v>
      </c>
      <c r="B114" s="9" t="s">
        <v>32</v>
      </c>
      <c r="C114" s="9" t="s">
        <v>78</v>
      </c>
    </row>
    <row r="115" spans="1:3">
      <c r="A115" s="11">
        <v>114</v>
      </c>
      <c r="B115" s="12" t="s">
        <v>46</v>
      </c>
      <c r="C115" s="12" t="s">
        <v>47</v>
      </c>
    </row>
    <row r="116" spans="1:3">
      <c r="A116" s="8">
        <v>115</v>
      </c>
      <c r="B116" s="9" t="s">
        <v>32</v>
      </c>
      <c r="C116" s="9" t="s">
        <v>55</v>
      </c>
    </row>
    <row r="117" spans="1:3">
      <c r="A117" s="11">
        <v>116</v>
      </c>
      <c r="B117" s="12" t="s">
        <v>21</v>
      </c>
      <c r="C117" s="12" t="s">
        <v>22</v>
      </c>
    </row>
    <row r="118" spans="1:3">
      <c r="A118" s="8">
        <v>117</v>
      </c>
      <c r="B118" s="9" t="s">
        <v>32</v>
      </c>
      <c r="C118" s="9" t="s">
        <v>296</v>
      </c>
    </row>
    <row r="119" spans="1:3">
      <c r="A119" s="11">
        <v>118</v>
      </c>
      <c r="B119" s="12" t="s">
        <v>21</v>
      </c>
      <c r="C119" s="12" t="s">
        <v>300</v>
      </c>
    </row>
    <row r="120" spans="1:3">
      <c r="A120" s="8">
        <v>119</v>
      </c>
      <c r="B120" s="9" t="s">
        <v>32</v>
      </c>
      <c r="C120" s="9" t="s">
        <v>78</v>
      </c>
    </row>
    <row r="121" spans="1:3">
      <c r="A121" s="11">
        <v>120</v>
      </c>
      <c r="B121" s="12" t="s">
        <v>21</v>
      </c>
      <c r="C121" s="1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9FD2-5C72-4D30-AC83-CC17758E5D26}">
  <dimension ref="A1:E121"/>
  <sheetViews>
    <sheetView workbookViewId="0">
      <selection activeCell="F1" sqref="F1"/>
    </sheetView>
  </sheetViews>
  <sheetFormatPr defaultRowHeight="15"/>
  <cols>
    <col min="2" max="2" width="16.42578125" customWidth="1"/>
    <col min="3" max="3" width="16" customWidth="1"/>
    <col min="4" max="4" width="20.5703125" customWidth="1"/>
    <col min="5" max="5" width="21.28515625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>
        <v>1</v>
      </c>
      <c r="B2" s="9" t="s">
        <v>15</v>
      </c>
      <c r="C2" s="9" t="s">
        <v>16</v>
      </c>
      <c r="D2" s="10">
        <v>34902</v>
      </c>
      <c r="E2" s="9" t="s">
        <v>17</v>
      </c>
    </row>
    <row r="3" spans="1:5">
      <c r="A3" s="11">
        <v>2</v>
      </c>
      <c r="B3" s="12" t="s">
        <v>23</v>
      </c>
      <c r="C3" s="12" t="s">
        <v>24</v>
      </c>
      <c r="D3" s="13">
        <v>35318</v>
      </c>
      <c r="E3" s="12" t="s">
        <v>25</v>
      </c>
    </row>
    <row r="4" spans="1:5">
      <c r="A4" s="8">
        <v>3</v>
      </c>
      <c r="B4" s="9" t="s">
        <v>23</v>
      </c>
      <c r="C4" s="9" t="s">
        <v>29</v>
      </c>
      <c r="D4" s="10">
        <v>28958</v>
      </c>
      <c r="E4" s="9" t="s">
        <v>30</v>
      </c>
    </row>
    <row r="5" spans="1:5">
      <c r="A5" s="11">
        <v>4</v>
      </c>
      <c r="B5" s="12" t="s">
        <v>34</v>
      </c>
      <c r="C5" s="12" t="s">
        <v>24</v>
      </c>
      <c r="D5" s="13">
        <v>33293</v>
      </c>
      <c r="E5" s="12" t="s">
        <v>35</v>
      </c>
    </row>
    <row r="6" spans="1:5">
      <c r="A6" s="8">
        <v>5</v>
      </c>
      <c r="B6" s="9" t="s">
        <v>34</v>
      </c>
      <c r="C6" s="9" t="s">
        <v>39</v>
      </c>
      <c r="D6" s="10">
        <v>31896</v>
      </c>
      <c r="E6" s="9" t="s">
        <v>35</v>
      </c>
    </row>
    <row r="7" spans="1:5">
      <c r="A7" s="11">
        <v>6</v>
      </c>
      <c r="B7" s="12" t="s">
        <v>42</v>
      </c>
      <c r="C7" s="12" t="s">
        <v>43</v>
      </c>
      <c r="D7" s="13">
        <v>28874</v>
      </c>
      <c r="E7" s="12" t="s">
        <v>44</v>
      </c>
    </row>
    <row r="8" spans="1:5">
      <c r="A8" s="8">
        <v>7</v>
      </c>
      <c r="B8" s="9" t="s">
        <v>48</v>
      </c>
      <c r="C8" s="9" t="s">
        <v>49</v>
      </c>
      <c r="D8" s="10">
        <v>27895</v>
      </c>
      <c r="E8" s="9" t="s">
        <v>50</v>
      </c>
    </row>
    <row r="9" spans="1:5">
      <c r="A9" s="11">
        <v>8</v>
      </c>
      <c r="B9" s="12" t="s">
        <v>52</v>
      </c>
      <c r="C9" s="12" t="s">
        <v>53</v>
      </c>
      <c r="D9" s="13">
        <v>26913</v>
      </c>
      <c r="E9" s="12" t="s">
        <v>54</v>
      </c>
    </row>
    <row r="10" spans="1:5">
      <c r="A10" s="8">
        <v>9</v>
      </c>
      <c r="B10" s="9" t="s">
        <v>56</v>
      </c>
      <c r="C10" s="9" t="s">
        <v>57</v>
      </c>
      <c r="D10" s="10">
        <v>28785</v>
      </c>
      <c r="E10" s="9" t="s">
        <v>58</v>
      </c>
    </row>
    <row r="11" spans="1:5">
      <c r="A11" s="11">
        <v>10</v>
      </c>
      <c r="B11" s="12" t="s">
        <v>60</v>
      </c>
      <c r="C11" s="12" t="s">
        <v>61</v>
      </c>
      <c r="D11" s="13">
        <v>28240</v>
      </c>
      <c r="E11" s="12" t="s">
        <v>25</v>
      </c>
    </row>
    <row r="12" spans="1:5">
      <c r="A12" s="8">
        <v>11</v>
      </c>
      <c r="B12" s="9" t="s">
        <v>62</v>
      </c>
      <c r="C12" s="9" t="s">
        <v>63</v>
      </c>
      <c r="D12" s="10">
        <v>26501</v>
      </c>
      <c r="E12" s="9" t="s">
        <v>54</v>
      </c>
    </row>
    <row r="13" spans="1:5">
      <c r="A13" s="11">
        <v>12</v>
      </c>
      <c r="B13" s="12" t="s">
        <v>65</v>
      </c>
      <c r="C13" s="12" t="s">
        <v>66</v>
      </c>
      <c r="D13" s="13">
        <v>30399</v>
      </c>
      <c r="E13" s="12" t="s">
        <v>67</v>
      </c>
    </row>
    <row r="14" spans="1:5">
      <c r="A14" s="8">
        <v>13</v>
      </c>
      <c r="B14" s="9" t="s">
        <v>70</v>
      </c>
      <c r="C14" s="9" t="s">
        <v>71</v>
      </c>
      <c r="D14" s="10">
        <v>29465</v>
      </c>
      <c r="E14" s="9" t="s">
        <v>18</v>
      </c>
    </row>
    <row r="15" spans="1:5">
      <c r="A15" s="11">
        <v>14</v>
      </c>
      <c r="B15" s="12" t="s">
        <v>72</v>
      </c>
      <c r="C15" s="12" t="s">
        <v>73</v>
      </c>
      <c r="D15" s="13">
        <v>30626</v>
      </c>
      <c r="E15" s="12" t="s">
        <v>74</v>
      </c>
    </row>
    <row r="16" spans="1:5">
      <c r="A16" s="8">
        <v>15</v>
      </c>
      <c r="B16" s="9" t="s">
        <v>75</v>
      </c>
      <c r="C16" s="9" t="s">
        <v>76</v>
      </c>
      <c r="D16" s="10">
        <v>28234</v>
      </c>
      <c r="E16" s="9" t="s">
        <v>77</v>
      </c>
    </row>
    <row r="17" spans="1:5">
      <c r="A17" s="11">
        <v>16</v>
      </c>
      <c r="B17" s="12" t="s">
        <v>79</v>
      </c>
      <c r="C17" s="12" t="s">
        <v>80</v>
      </c>
      <c r="D17" s="13">
        <v>28187</v>
      </c>
      <c r="E17" s="12" t="s">
        <v>25</v>
      </c>
    </row>
    <row r="18" spans="1:5">
      <c r="A18" s="8">
        <v>17</v>
      </c>
      <c r="B18" s="9" t="s">
        <v>82</v>
      </c>
      <c r="C18" s="9" t="s">
        <v>83</v>
      </c>
      <c r="D18" s="10">
        <v>26227</v>
      </c>
      <c r="E18" s="9" t="s">
        <v>25</v>
      </c>
    </row>
    <row r="19" spans="1:5">
      <c r="A19" s="11">
        <v>18</v>
      </c>
      <c r="B19" s="12" t="s">
        <v>84</v>
      </c>
      <c r="C19" s="12" t="s">
        <v>85</v>
      </c>
      <c r="D19" s="13">
        <v>30718</v>
      </c>
      <c r="E19" s="12" t="s">
        <v>54</v>
      </c>
    </row>
    <row r="20" spans="1:5">
      <c r="A20" s="8">
        <v>19</v>
      </c>
      <c r="B20" s="9" t="s">
        <v>84</v>
      </c>
      <c r="C20" s="9" t="s">
        <v>89</v>
      </c>
      <c r="D20" s="10">
        <v>29537</v>
      </c>
      <c r="E20" s="9" t="s">
        <v>90</v>
      </c>
    </row>
    <row r="21" spans="1:5">
      <c r="A21" s="11">
        <v>20</v>
      </c>
      <c r="B21" s="12" t="s">
        <v>91</v>
      </c>
      <c r="C21" s="12" t="s">
        <v>92</v>
      </c>
      <c r="D21" s="13">
        <v>30399</v>
      </c>
      <c r="E21" s="12" t="s">
        <v>93</v>
      </c>
    </row>
    <row r="22" spans="1:5">
      <c r="A22" s="8">
        <v>21</v>
      </c>
      <c r="B22" s="9" t="s">
        <v>95</v>
      </c>
      <c r="C22" s="9" t="s">
        <v>96</v>
      </c>
      <c r="D22" s="10">
        <v>27812</v>
      </c>
      <c r="E22" s="9" t="s">
        <v>97</v>
      </c>
    </row>
    <row r="23" spans="1:5">
      <c r="A23" s="11">
        <v>22</v>
      </c>
      <c r="B23" s="12" t="s">
        <v>98</v>
      </c>
      <c r="C23" s="12" t="s">
        <v>99</v>
      </c>
      <c r="D23" s="13">
        <v>24065</v>
      </c>
      <c r="E23" s="12" t="s">
        <v>26</v>
      </c>
    </row>
    <row r="24" spans="1:5">
      <c r="A24" s="8">
        <v>23</v>
      </c>
      <c r="B24" s="9" t="s">
        <v>100</v>
      </c>
      <c r="C24" s="9" t="s">
        <v>101</v>
      </c>
      <c r="D24" s="10">
        <v>27648</v>
      </c>
      <c r="E24" s="9" t="s">
        <v>25</v>
      </c>
    </row>
    <row r="25" spans="1:5">
      <c r="A25" s="11">
        <v>24</v>
      </c>
      <c r="B25" s="12" t="s">
        <v>102</v>
      </c>
      <c r="C25" s="12" t="s">
        <v>103</v>
      </c>
      <c r="D25" s="13">
        <v>28122</v>
      </c>
      <c r="E25" s="12" t="s">
        <v>25</v>
      </c>
    </row>
    <row r="26" spans="1:5">
      <c r="A26" s="8">
        <v>25</v>
      </c>
      <c r="B26" s="9" t="s">
        <v>104</v>
      </c>
      <c r="C26" s="9" t="s">
        <v>63</v>
      </c>
      <c r="D26" s="10">
        <v>34652</v>
      </c>
      <c r="E26" s="9" t="s">
        <v>105</v>
      </c>
    </row>
    <row r="27" spans="1:5">
      <c r="A27" s="11">
        <v>26</v>
      </c>
      <c r="B27" s="12" t="s">
        <v>106</v>
      </c>
      <c r="C27" s="12" t="s">
        <v>107</v>
      </c>
      <c r="D27" s="13">
        <v>34357</v>
      </c>
      <c r="E27" s="12" t="s">
        <v>108</v>
      </c>
    </row>
    <row r="28" spans="1:5">
      <c r="A28" s="8">
        <v>27</v>
      </c>
      <c r="B28" s="9" t="s">
        <v>109</v>
      </c>
      <c r="C28" s="9" t="s">
        <v>110</v>
      </c>
      <c r="D28" s="10">
        <v>26553</v>
      </c>
      <c r="E28" s="9" t="s">
        <v>111</v>
      </c>
    </row>
    <row r="29" spans="1:5">
      <c r="A29" s="11">
        <v>28</v>
      </c>
      <c r="B29" s="12" t="s">
        <v>112</v>
      </c>
      <c r="C29" s="12" t="s">
        <v>113</v>
      </c>
      <c r="D29" s="13">
        <v>29207</v>
      </c>
      <c r="E29" s="12" t="s">
        <v>114</v>
      </c>
    </row>
    <row r="30" spans="1:5">
      <c r="A30" s="8">
        <v>29</v>
      </c>
      <c r="B30" s="9" t="s">
        <v>115</v>
      </c>
      <c r="C30" s="9" t="s">
        <v>113</v>
      </c>
      <c r="D30" s="10">
        <v>26952</v>
      </c>
      <c r="E30" s="9" t="s">
        <v>116</v>
      </c>
    </row>
    <row r="31" spans="1:5">
      <c r="A31" s="11">
        <v>30</v>
      </c>
      <c r="B31" s="12" t="s">
        <v>117</v>
      </c>
      <c r="C31" s="12" t="s">
        <v>118</v>
      </c>
      <c r="D31" s="13">
        <v>27049</v>
      </c>
      <c r="E31" s="12" t="s">
        <v>119</v>
      </c>
    </row>
    <row r="32" spans="1:5">
      <c r="A32" s="8">
        <v>31</v>
      </c>
      <c r="B32" s="9" t="s">
        <v>120</v>
      </c>
      <c r="C32" s="9" t="s">
        <v>121</v>
      </c>
      <c r="D32" s="10">
        <v>28186</v>
      </c>
      <c r="E32" s="9" t="s">
        <v>25</v>
      </c>
    </row>
    <row r="33" spans="1:5">
      <c r="A33" s="11">
        <v>32</v>
      </c>
      <c r="B33" s="12" t="s">
        <v>123</v>
      </c>
      <c r="C33" s="12" t="s">
        <v>92</v>
      </c>
      <c r="D33" s="13">
        <v>31869</v>
      </c>
      <c r="E33" s="12" t="s">
        <v>18</v>
      </c>
    </row>
    <row r="34" spans="1:5">
      <c r="A34" s="8">
        <v>33</v>
      </c>
      <c r="B34" s="9" t="s">
        <v>125</v>
      </c>
      <c r="C34" s="9" t="s">
        <v>126</v>
      </c>
      <c r="D34" s="10">
        <v>31150</v>
      </c>
      <c r="E34" s="9" t="s">
        <v>93</v>
      </c>
    </row>
    <row r="35" spans="1:5">
      <c r="A35" s="11">
        <v>34</v>
      </c>
      <c r="B35" s="12" t="s">
        <v>128</v>
      </c>
      <c r="C35" s="12" t="s">
        <v>129</v>
      </c>
      <c r="D35" s="13">
        <v>36127</v>
      </c>
      <c r="E35" s="12" t="s">
        <v>130</v>
      </c>
    </row>
    <row r="36" spans="1:5">
      <c r="A36" s="8">
        <v>35</v>
      </c>
      <c r="B36" s="9" t="s">
        <v>132</v>
      </c>
      <c r="C36" s="9" t="s">
        <v>133</v>
      </c>
      <c r="D36" s="10">
        <v>23849</v>
      </c>
      <c r="E36" s="9" t="s">
        <v>134</v>
      </c>
    </row>
    <row r="37" spans="1:5">
      <c r="A37" s="11">
        <v>36</v>
      </c>
      <c r="B37" s="12" t="s">
        <v>132</v>
      </c>
      <c r="C37" s="12" t="s">
        <v>135</v>
      </c>
      <c r="D37" s="13">
        <v>26214</v>
      </c>
      <c r="E37" s="12" t="s">
        <v>26</v>
      </c>
    </row>
    <row r="38" spans="1:5">
      <c r="A38" s="8">
        <v>37</v>
      </c>
      <c r="B38" s="9" t="s">
        <v>132</v>
      </c>
      <c r="C38" s="9" t="s">
        <v>29</v>
      </c>
      <c r="D38" s="10">
        <v>27997</v>
      </c>
      <c r="E38" s="9" t="s">
        <v>136</v>
      </c>
    </row>
    <row r="39" spans="1:5">
      <c r="A39" s="11">
        <v>38</v>
      </c>
      <c r="B39" s="12" t="s">
        <v>137</v>
      </c>
      <c r="C39" s="12" t="s">
        <v>24</v>
      </c>
      <c r="D39" s="13">
        <v>28093</v>
      </c>
      <c r="E39" s="12" t="s">
        <v>138</v>
      </c>
    </row>
    <row r="40" spans="1:5">
      <c r="A40" s="8">
        <v>39</v>
      </c>
      <c r="B40" s="9" t="s">
        <v>140</v>
      </c>
      <c r="C40" s="9" t="s">
        <v>63</v>
      </c>
      <c r="D40" s="10">
        <v>27219</v>
      </c>
      <c r="E40" s="9" t="s">
        <v>25</v>
      </c>
    </row>
    <row r="41" spans="1:5">
      <c r="A41" s="11">
        <v>40</v>
      </c>
      <c r="B41" s="12" t="s">
        <v>143</v>
      </c>
      <c r="C41" s="12" t="s">
        <v>144</v>
      </c>
      <c r="D41" s="13">
        <v>26908</v>
      </c>
      <c r="E41" s="12" t="s">
        <v>145</v>
      </c>
    </row>
    <row r="42" spans="1:5">
      <c r="A42" s="8">
        <v>41</v>
      </c>
      <c r="B42" s="9" t="s">
        <v>147</v>
      </c>
      <c r="C42" s="9" t="s">
        <v>148</v>
      </c>
      <c r="D42" s="10">
        <v>27894</v>
      </c>
      <c r="E42" s="9" t="s">
        <v>122</v>
      </c>
    </row>
    <row r="43" spans="1:5">
      <c r="A43" s="11">
        <v>42</v>
      </c>
      <c r="B43" s="12" t="s">
        <v>147</v>
      </c>
      <c r="C43" s="12" t="s">
        <v>53</v>
      </c>
      <c r="D43" s="13">
        <v>21403</v>
      </c>
      <c r="E43" s="12" t="s">
        <v>150</v>
      </c>
    </row>
    <row r="44" spans="1:5">
      <c r="A44" s="8">
        <v>43</v>
      </c>
      <c r="B44" s="9" t="s">
        <v>151</v>
      </c>
      <c r="C44" s="9" t="s">
        <v>152</v>
      </c>
      <c r="D44" s="10">
        <v>29600</v>
      </c>
      <c r="E44" s="9" t="s">
        <v>25</v>
      </c>
    </row>
    <row r="45" spans="1:5">
      <c r="A45" s="11">
        <v>44</v>
      </c>
      <c r="B45" s="12" t="s">
        <v>153</v>
      </c>
      <c r="C45" s="12" t="s">
        <v>154</v>
      </c>
      <c r="D45" s="13">
        <v>28999</v>
      </c>
      <c r="E45" s="12" t="s">
        <v>155</v>
      </c>
    </row>
    <row r="46" spans="1:5">
      <c r="A46" s="8">
        <v>45</v>
      </c>
      <c r="B46" s="9" t="s">
        <v>156</v>
      </c>
      <c r="C46" s="9" t="s">
        <v>152</v>
      </c>
      <c r="D46" s="10">
        <v>27074</v>
      </c>
      <c r="E46" s="9" t="s">
        <v>157</v>
      </c>
    </row>
    <row r="47" spans="1:5">
      <c r="A47" s="11">
        <v>46</v>
      </c>
      <c r="B47" s="12" t="s">
        <v>159</v>
      </c>
      <c r="C47" s="12" t="s">
        <v>160</v>
      </c>
      <c r="D47" s="13">
        <v>27795</v>
      </c>
      <c r="E47" s="12" t="s">
        <v>25</v>
      </c>
    </row>
    <row r="48" spans="1:5">
      <c r="A48" s="8">
        <v>47</v>
      </c>
      <c r="B48" s="9" t="s">
        <v>159</v>
      </c>
      <c r="C48" s="9" t="s">
        <v>160</v>
      </c>
      <c r="D48" s="10">
        <v>30527</v>
      </c>
      <c r="E48" s="9" t="s">
        <v>161</v>
      </c>
    </row>
    <row r="49" spans="1:5">
      <c r="A49" s="11">
        <v>48</v>
      </c>
      <c r="B49" s="12" t="s">
        <v>162</v>
      </c>
      <c r="C49" s="12" t="s">
        <v>154</v>
      </c>
      <c r="D49" s="13">
        <v>29219</v>
      </c>
      <c r="E49" s="12" t="s">
        <v>25</v>
      </c>
    </row>
    <row r="50" spans="1:5">
      <c r="A50" s="8">
        <v>49</v>
      </c>
      <c r="B50" s="9" t="s">
        <v>164</v>
      </c>
      <c r="C50" s="9" t="s">
        <v>165</v>
      </c>
      <c r="D50" s="10">
        <v>33014</v>
      </c>
      <c r="E50" s="9" t="s">
        <v>166</v>
      </c>
    </row>
    <row r="51" spans="1:5">
      <c r="A51" s="11">
        <v>50</v>
      </c>
      <c r="B51" s="12" t="s">
        <v>167</v>
      </c>
      <c r="C51" s="12" t="s">
        <v>154</v>
      </c>
      <c r="D51" s="13">
        <v>21524</v>
      </c>
      <c r="E51" s="12" t="s">
        <v>168</v>
      </c>
    </row>
    <row r="52" spans="1:5">
      <c r="A52" s="8">
        <v>51</v>
      </c>
      <c r="B52" s="9" t="s">
        <v>169</v>
      </c>
      <c r="C52" s="9" t="s">
        <v>170</v>
      </c>
      <c r="D52" s="10">
        <v>29468</v>
      </c>
      <c r="E52" s="9" t="s">
        <v>146</v>
      </c>
    </row>
    <row r="53" spans="1:5">
      <c r="A53" s="11">
        <v>52</v>
      </c>
      <c r="B53" s="12" t="s">
        <v>169</v>
      </c>
      <c r="C53" s="12" t="s">
        <v>171</v>
      </c>
      <c r="D53" s="13">
        <v>28385</v>
      </c>
      <c r="E53" s="12" t="s">
        <v>172</v>
      </c>
    </row>
    <row r="54" spans="1:5">
      <c r="A54" s="8">
        <v>53</v>
      </c>
      <c r="B54" s="9" t="s">
        <v>173</v>
      </c>
      <c r="C54" s="9" t="s">
        <v>160</v>
      </c>
      <c r="D54" s="10">
        <v>29425</v>
      </c>
      <c r="E54" s="9" t="s">
        <v>150</v>
      </c>
    </row>
    <row r="55" spans="1:5">
      <c r="A55" s="11">
        <v>54</v>
      </c>
      <c r="B55" s="12" t="s">
        <v>175</v>
      </c>
      <c r="C55" s="12" t="s">
        <v>96</v>
      </c>
      <c r="D55" s="13">
        <v>36085</v>
      </c>
      <c r="E55" s="12" t="s">
        <v>176</v>
      </c>
    </row>
    <row r="56" spans="1:5">
      <c r="A56" s="8">
        <v>55</v>
      </c>
      <c r="B56" s="9" t="s">
        <v>177</v>
      </c>
      <c r="C56" s="9" t="s">
        <v>101</v>
      </c>
      <c r="D56" s="10">
        <v>27255</v>
      </c>
      <c r="E56" s="9" t="s">
        <v>178</v>
      </c>
    </row>
    <row r="57" spans="1:5">
      <c r="A57" s="11">
        <v>56</v>
      </c>
      <c r="B57" s="12" t="s">
        <v>177</v>
      </c>
      <c r="C57" s="12" t="s">
        <v>101</v>
      </c>
      <c r="D57" s="13">
        <v>26903</v>
      </c>
      <c r="E57" s="12" t="s">
        <v>176</v>
      </c>
    </row>
    <row r="58" spans="1:5">
      <c r="A58" s="8">
        <v>57</v>
      </c>
      <c r="B58" s="9" t="s">
        <v>179</v>
      </c>
      <c r="C58" s="9" t="s">
        <v>180</v>
      </c>
      <c r="D58" s="10">
        <v>26623</v>
      </c>
      <c r="E58" s="9" t="s">
        <v>181</v>
      </c>
    </row>
    <row r="59" spans="1:5">
      <c r="A59" s="11">
        <v>58</v>
      </c>
      <c r="B59" s="12" t="s">
        <v>182</v>
      </c>
      <c r="C59" s="12" t="s">
        <v>183</v>
      </c>
      <c r="D59" s="13">
        <v>34857</v>
      </c>
      <c r="E59" s="12" t="s">
        <v>86</v>
      </c>
    </row>
    <row r="60" spans="1:5">
      <c r="A60" s="8">
        <v>59</v>
      </c>
      <c r="B60" s="9" t="s">
        <v>184</v>
      </c>
      <c r="C60" s="9" t="s">
        <v>24</v>
      </c>
      <c r="D60" s="10">
        <v>28713</v>
      </c>
      <c r="E60" s="9" t="s">
        <v>185</v>
      </c>
    </row>
    <row r="61" spans="1:5">
      <c r="A61" s="11">
        <v>60</v>
      </c>
      <c r="B61" s="12" t="s">
        <v>186</v>
      </c>
      <c r="C61" s="12" t="s">
        <v>187</v>
      </c>
      <c r="D61" s="13">
        <v>36085</v>
      </c>
      <c r="E61" s="12" t="s">
        <v>35</v>
      </c>
    </row>
    <row r="62" spans="1:5">
      <c r="A62" s="8">
        <v>61</v>
      </c>
      <c r="B62" s="9" t="s">
        <v>188</v>
      </c>
      <c r="C62" s="9" t="s">
        <v>66</v>
      </c>
      <c r="D62" s="10">
        <v>27841</v>
      </c>
      <c r="E62" s="9" t="s">
        <v>25</v>
      </c>
    </row>
    <row r="63" spans="1:5">
      <c r="A63" s="11">
        <v>62</v>
      </c>
      <c r="B63" s="12" t="s">
        <v>189</v>
      </c>
      <c r="C63" s="12" t="s">
        <v>80</v>
      </c>
      <c r="D63" s="13">
        <v>21104</v>
      </c>
      <c r="E63" s="12" t="s">
        <v>30</v>
      </c>
    </row>
    <row r="64" spans="1:5">
      <c r="A64" s="8">
        <v>63</v>
      </c>
      <c r="B64" s="9" t="s">
        <v>190</v>
      </c>
      <c r="C64" s="9" t="s">
        <v>191</v>
      </c>
      <c r="D64" s="10">
        <v>34169</v>
      </c>
      <c r="E64" s="9" t="s">
        <v>192</v>
      </c>
    </row>
    <row r="65" spans="1:5">
      <c r="A65" s="11">
        <v>64</v>
      </c>
      <c r="B65" s="12" t="s">
        <v>193</v>
      </c>
      <c r="C65" s="12" t="s">
        <v>194</v>
      </c>
      <c r="D65" s="13">
        <v>35933</v>
      </c>
      <c r="E65" s="12" t="s">
        <v>195</v>
      </c>
    </row>
    <row r="66" spans="1:5">
      <c r="A66" s="8">
        <v>65</v>
      </c>
      <c r="B66" s="9" t="s">
        <v>196</v>
      </c>
      <c r="C66" s="9" t="s">
        <v>101</v>
      </c>
      <c r="D66" s="10">
        <v>26898</v>
      </c>
      <c r="E66" s="9" t="s">
        <v>25</v>
      </c>
    </row>
    <row r="67" spans="1:5">
      <c r="A67" s="11">
        <v>66</v>
      </c>
      <c r="B67" s="12" t="s">
        <v>197</v>
      </c>
      <c r="C67" s="12" t="s">
        <v>198</v>
      </c>
      <c r="D67" s="13">
        <v>28884</v>
      </c>
      <c r="E67" s="12" t="s">
        <v>199</v>
      </c>
    </row>
    <row r="68" spans="1:5">
      <c r="A68" s="8">
        <v>67</v>
      </c>
      <c r="B68" s="9" t="s">
        <v>200</v>
      </c>
      <c r="C68" s="9" t="s">
        <v>201</v>
      </c>
      <c r="D68" s="10">
        <v>27626</v>
      </c>
      <c r="E68" s="9" t="s">
        <v>26</v>
      </c>
    </row>
    <row r="69" spans="1:5">
      <c r="A69" s="11">
        <v>68</v>
      </c>
      <c r="B69" s="12" t="s">
        <v>202</v>
      </c>
      <c r="C69" s="12" t="s">
        <v>160</v>
      </c>
      <c r="D69" s="13">
        <v>28289</v>
      </c>
      <c r="E69" s="12" t="s">
        <v>203</v>
      </c>
    </row>
    <row r="70" spans="1:5">
      <c r="A70" s="8">
        <v>69</v>
      </c>
      <c r="B70" s="9" t="s">
        <v>202</v>
      </c>
      <c r="C70" s="9" t="s">
        <v>204</v>
      </c>
      <c r="D70" s="10">
        <v>35612</v>
      </c>
      <c r="E70" s="9" t="s">
        <v>205</v>
      </c>
    </row>
    <row r="71" spans="1:5">
      <c r="A71" s="11">
        <v>70</v>
      </c>
      <c r="B71" s="12" t="s">
        <v>206</v>
      </c>
      <c r="C71" s="12" t="s">
        <v>207</v>
      </c>
      <c r="D71" s="13">
        <v>29639</v>
      </c>
      <c r="E71" s="12" t="s">
        <v>208</v>
      </c>
    </row>
    <row r="72" spans="1:5">
      <c r="A72" s="8">
        <v>71</v>
      </c>
      <c r="B72" s="9" t="s">
        <v>209</v>
      </c>
      <c r="C72" s="9" t="s">
        <v>24</v>
      </c>
      <c r="D72" s="10">
        <v>30036</v>
      </c>
      <c r="E72" s="9" t="s">
        <v>163</v>
      </c>
    </row>
    <row r="73" spans="1:5">
      <c r="A73" s="11">
        <v>72</v>
      </c>
      <c r="B73" s="12" t="s">
        <v>210</v>
      </c>
      <c r="C73" s="12" t="s">
        <v>24</v>
      </c>
      <c r="D73" s="13">
        <v>27904</v>
      </c>
      <c r="E73" s="12" t="s">
        <v>25</v>
      </c>
    </row>
    <row r="74" spans="1:5">
      <c r="A74" s="8">
        <v>73</v>
      </c>
      <c r="B74" s="9" t="s">
        <v>211</v>
      </c>
      <c r="C74" s="9" t="s">
        <v>144</v>
      </c>
      <c r="D74" s="10">
        <v>27068</v>
      </c>
      <c r="E74" s="9" t="s">
        <v>40</v>
      </c>
    </row>
    <row r="75" spans="1:5">
      <c r="A75" s="11">
        <v>74</v>
      </c>
      <c r="B75" s="12" t="s">
        <v>212</v>
      </c>
      <c r="C75" s="12" t="s">
        <v>63</v>
      </c>
      <c r="D75" s="13">
        <v>27137</v>
      </c>
      <c r="E75" s="12" t="s">
        <v>213</v>
      </c>
    </row>
    <row r="76" spans="1:5">
      <c r="A76" s="8">
        <v>75</v>
      </c>
      <c r="B76" s="9" t="s">
        <v>214</v>
      </c>
      <c r="C76" s="9" t="s">
        <v>198</v>
      </c>
      <c r="D76" s="10">
        <v>26822</v>
      </c>
      <c r="E76" s="9" t="s">
        <v>58</v>
      </c>
    </row>
    <row r="77" spans="1:5">
      <c r="A77" s="11">
        <v>76</v>
      </c>
      <c r="B77" s="12" t="s">
        <v>215</v>
      </c>
      <c r="C77" s="12" t="s">
        <v>110</v>
      </c>
      <c r="D77" s="13">
        <v>28590</v>
      </c>
      <c r="E77" s="12" t="s">
        <v>25</v>
      </c>
    </row>
    <row r="78" spans="1:5">
      <c r="A78" s="8">
        <v>77</v>
      </c>
      <c r="B78" s="9" t="s">
        <v>216</v>
      </c>
      <c r="C78" s="9" t="s">
        <v>217</v>
      </c>
      <c r="D78" s="10">
        <v>28698</v>
      </c>
      <c r="E78" s="9" t="s">
        <v>218</v>
      </c>
    </row>
    <row r="79" spans="1:5">
      <c r="A79" s="11">
        <v>78</v>
      </c>
      <c r="B79" s="12" t="s">
        <v>216</v>
      </c>
      <c r="C79" s="12" t="s">
        <v>170</v>
      </c>
      <c r="D79" s="13">
        <v>29042</v>
      </c>
      <c r="E79" s="12" t="s">
        <v>35</v>
      </c>
    </row>
    <row r="80" spans="1:5">
      <c r="A80" s="8">
        <v>79</v>
      </c>
      <c r="B80" s="9" t="s">
        <v>220</v>
      </c>
      <c r="C80" s="9" t="s">
        <v>221</v>
      </c>
      <c r="D80" s="10">
        <v>36058</v>
      </c>
      <c r="E80" s="9" t="s">
        <v>26</v>
      </c>
    </row>
    <row r="81" spans="1:5">
      <c r="A81" s="11">
        <v>80</v>
      </c>
      <c r="B81" s="12" t="s">
        <v>222</v>
      </c>
      <c r="C81" s="12" t="s">
        <v>73</v>
      </c>
      <c r="D81" s="13">
        <v>26289</v>
      </c>
      <c r="E81" s="12" t="s">
        <v>223</v>
      </c>
    </row>
    <row r="82" spans="1:5">
      <c r="A82" s="8">
        <v>81</v>
      </c>
      <c r="B82" s="9" t="s">
        <v>224</v>
      </c>
      <c r="C82" s="9" t="s">
        <v>225</v>
      </c>
      <c r="D82" s="10">
        <v>32157</v>
      </c>
      <c r="E82" s="9" t="s">
        <v>150</v>
      </c>
    </row>
    <row r="83" spans="1:5">
      <c r="A83" s="11">
        <v>82</v>
      </c>
      <c r="B83" s="12" t="s">
        <v>226</v>
      </c>
      <c r="C83" s="12" t="s">
        <v>144</v>
      </c>
      <c r="D83" s="13">
        <v>29285</v>
      </c>
      <c r="E83" s="12" t="s">
        <v>227</v>
      </c>
    </row>
    <row r="84" spans="1:5">
      <c r="A84" s="8">
        <v>83</v>
      </c>
      <c r="B84" s="9" t="s">
        <v>228</v>
      </c>
      <c r="C84" s="9" t="s">
        <v>229</v>
      </c>
      <c r="D84" s="10">
        <v>38406</v>
      </c>
      <c r="E84" s="9" t="s">
        <v>230</v>
      </c>
    </row>
    <row r="85" spans="1:5">
      <c r="A85" s="11">
        <v>84</v>
      </c>
      <c r="B85" s="12" t="s">
        <v>228</v>
      </c>
      <c r="C85" s="12" t="s">
        <v>144</v>
      </c>
      <c r="D85" s="13">
        <v>30712</v>
      </c>
      <c r="E85" s="12" t="s">
        <v>231</v>
      </c>
    </row>
    <row r="86" spans="1:5">
      <c r="A86" s="8">
        <v>85</v>
      </c>
      <c r="B86" s="9" t="s">
        <v>228</v>
      </c>
      <c r="C86" s="9" t="s">
        <v>61</v>
      </c>
      <c r="D86" s="10">
        <v>33253</v>
      </c>
      <c r="E86" s="9" t="s">
        <v>232</v>
      </c>
    </row>
    <row r="87" spans="1:5">
      <c r="A87" s="11">
        <v>86</v>
      </c>
      <c r="B87" s="12" t="s">
        <v>233</v>
      </c>
      <c r="C87" s="12" t="s">
        <v>234</v>
      </c>
      <c r="D87" s="13">
        <v>35104</v>
      </c>
      <c r="E87" s="12" t="s">
        <v>235</v>
      </c>
    </row>
    <row r="88" spans="1:5">
      <c r="A88" s="8">
        <v>87</v>
      </c>
      <c r="B88" s="9" t="s">
        <v>237</v>
      </c>
      <c r="C88" s="9" t="s">
        <v>16</v>
      </c>
      <c r="D88" s="10">
        <v>31322</v>
      </c>
      <c r="E88" s="9" t="s">
        <v>238</v>
      </c>
    </row>
    <row r="89" spans="1:5">
      <c r="A89" s="11">
        <v>88</v>
      </c>
      <c r="B89" s="12" t="s">
        <v>240</v>
      </c>
      <c r="C89" s="12" t="s">
        <v>92</v>
      </c>
      <c r="D89" s="13">
        <v>33390</v>
      </c>
      <c r="E89" s="12" t="s">
        <v>241</v>
      </c>
    </row>
    <row r="90" spans="1:5">
      <c r="A90" s="8">
        <v>89</v>
      </c>
      <c r="B90" s="9" t="s">
        <v>243</v>
      </c>
      <c r="C90" s="9" t="s">
        <v>126</v>
      </c>
      <c r="D90" s="10">
        <v>32919</v>
      </c>
      <c r="E90" s="9" t="s">
        <v>25</v>
      </c>
    </row>
    <row r="91" spans="1:5">
      <c r="A91" s="11">
        <v>90</v>
      </c>
      <c r="B91" s="12" t="s">
        <v>244</v>
      </c>
      <c r="C91" s="12" t="s">
        <v>101</v>
      </c>
      <c r="D91" s="13">
        <v>29690</v>
      </c>
      <c r="E91" s="12" t="s">
        <v>90</v>
      </c>
    </row>
    <row r="92" spans="1:5">
      <c r="A92" s="8">
        <v>91</v>
      </c>
      <c r="B92" s="9" t="s">
        <v>246</v>
      </c>
      <c r="C92" s="9" t="s">
        <v>101</v>
      </c>
      <c r="D92" s="10">
        <v>26487</v>
      </c>
      <c r="E92" s="9" t="s">
        <v>25</v>
      </c>
    </row>
    <row r="93" spans="1:5">
      <c r="A93" s="11">
        <v>92</v>
      </c>
      <c r="B93" s="12" t="s">
        <v>247</v>
      </c>
      <c r="C93" s="12" t="s">
        <v>76</v>
      </c>
      <c r="D93" s="13">
        <v>34359</v>
      </c>
      <c r="E93" s="12" t="s">
        <v>158</v>
      </c>
    </row>
    <row r="94" spans="1:5">
      <c r="A94" s="8">
        <v>93</v>
      </c>
      <c r="B94" s="9" t="s">
        <v>248</v>
      </c>
      <c r="C94" s="9" t="s">
        <v>249</v>
      </c>
      <c r="D94" s="10">
        <v>25841</v>
      </c>
      <c r="E94" s="9" t="s">
        <v>67</v>
      </c>
    </row>
    <row r="95" spans="1:5">
      <c r="A95" s="11">
        <v>94</v>
      </c>
      <c r="B95" s="12" t="s">
        <v>250</v>
      </c>
      <c r="C95" s="12" t="s">
        <v>251</v>
      </c>
      <c r="D95" s="13">
        <v>29538</v>
      </c>
      <c r="E95" s="12" t="s">
        <v>252</v>
      </c>
    </row>
    <row r="96" spans="1:5">
      <c r="A96" s="8">
        <v>95</v>
      </c>
      <c r="B96" s="9" t="s">
        <v>253</v>
      </c>
      <c r="C96" s="9" t="s">
        <v>254</v>
      </c>
      <c r="D96" s="10">
        <v>27287</v>
      </c>
      <c r="E96" s="9" t="s">
        <v>255</v>
      </c>
    </row>
    <row r="97" spans="1:5">
      <c r="A97" s="11">
        <v>96</v>
      </c>
      <c r="B97" s="12" t="s">
        <v>256</v>
      </c>
      <c r="C97" s="12" t="s">
        <v>257</v>
      </c>
      <c r="D97" s="13">
        <v>30010</v>
      </c>
      <c r="E97" s="12" t="s">
        <v>25</v>
      </c>
    </row>
    <row r="98" spans="1:5">
      <c r="A98" s="8">
        <v>97</v>
      </c>
      <c r="B98" s="9" t="s">
        <v>258</v>
      </c>
      <c r="C98" s="9" t="s">
        <v>259</v>
      </c>
      <c r="D98" s="10">
        <v>27187</v>
      </c>
      <c r="E98" s="9" t="s">
        <v>260</v>
      </c>
    </row>
    <row r="99" spans="1:5">
      <c r="A99" s="11">
        <v>98</v>
      </c>
      <c r="B99" s="12" t="s">
        <v>258</v>
      </c>
      <c r="C99" s="12" t="s">
        <v>259</v>
      </c>
      <c r="D99" s="13">
        <v>37663</v>
      </c>
      <c r="E99" s="12" t="s">
        <v>25</v>
      </c>
    </row>
    <row r="100" spans="1:5">
      <c r="A100" s="8">
        <v>99</v>
      </c>
      <c r="B100" s="9" t="s">
        <v>261</v>
      </c>
      <c r="C100" s="9" t="s">
        <v>201</v>
      </c>
      <c r="D100" s="10">
        <v>36194</v>
      </c>
      <c r="E100" s="9" t="s">
        <v>262</v>
      </c>
    </row>
    <row r="101" spans="1:5">
      <c r="A101" s="11">
        <v>100</v>
      </c>
      <c r="B101" s="12" t="s">
        <v>263</v>
      </c>
      <c r="C101" s="12" t="s">
        <v>160</v>
      </c>
      <c r="D101" s="13">
        <v>29505</v>
      </c>
      <c r="E101" s="12" t="s">
        <v>264</v>
      </c>
    </row>
    <row r="102" spans="1:5">
      <c r="A102" s="8">
        <v>101</v>
      </c>
      <c r="B102" s="9" t="s">
        <v>266</v>
      </c>
      <c r="C102" s="9" t="s">
        <v>267</v>
      </c>
      <c r="D102" s="10">
        <v>34517</v>
      </c>
      <c r="E102" s="9" t="s">
        <v>90</v>
      </c>
    </row>
    <row r="103" spans="1:5">
      <c r="A103" s="11">
        <v>102</v>
      </c>
      <c r="B103" s="12" t="s">
        <v>268</v>
      </c>
      <c r="C103" s="12" t="s">
        <v>80</v>
      </c>
      <c r="D103" s="13">
        <v>30922</v>
      </c>
      <c r="E103" s="12" t="s">
        <v>93</v>
      </c>
    </row>
    <row r="104" spans="1:5">
      <c r="A104" s="8">
        <v>103</v>
      </c>
      <c r="B104" s="9" t="s">
        <v>269</v>
      </c>
      <c r="C104" s="9" t="s">
        <v>270</v>
      </c>
      <c r="D104" s="10">
        <v>27756</v>
      </c>
      <c r="E104" s="9" t="s">
        <v>25</v>
      </c>
    </row>
    <row r="105" spans="1:5">
      <c r="A105" s="11">
        <v>104</v>
      </c>
      <c r="B105" s="12" t="s">
        <v>269</v>
      </c>
      <c r="C105" s="12" t="s">
        <v>271</v>
      </c>
      <c r="D105" s="13">
        <v>26349</v>
      </c>
      <c r="E105" s="12" t="s">
        <v>25</v>
      </c>
    </row>
    <row r="106" spans="1:5">
      <c r="A106" s="8">
        <v>105</v>
      </c>
      <c r="B106" s="9" t="s">
        <v>272</v>
      </c>
      <c r="C106" s="9" t="s">
        <v>273</v>
      </c>
      <c r="D106" s="10">
        <v>34319</v>
      </c>
      <c r="E106" s="9" t="s">
        <v>274</v>
      </c>
    </row>
    <row r="107" spans="1:5">
      <c r="A107" s="11">
        <v>106</v>
      </c>
      <c r="B107" s="12" t="s">
        <v>275</v>
      </c>
      <c r="C107" s="12" t="s">
        <v>154</v>
      </c>
      <c r="D107" s="13">
        <v>30399</v>
      </c>
      <c r="E107" s="12" t="s">
        <v>36</v>
      </c>
    </row>
    <row r="108" spans="1:5">
      <c r="A108" s="8">
        <v>107</v>
      </c>
      <c r="B108" s="9" t="s">
        <v>276</v>
      </c>
      <c r="C108" s="9" t="s">
        <v>49</v>
      </c>
      <c r="D108" s="10">
        <v>31790</v>
      </c>
      <c r="E108" s="9" t="s">
        <v>138</v>
      </c>
    </row>
    <row r="109" spans="1:5">
      <c r="A109" s="11">
        <v>108</v>
      </c>
      <c r="B109" s="12" t="s">
        <v>277</v>
      </c>
      <c r="C109" s="12" t="s">
        <v>107</v>
      </c>
      <c r="D109" s="13">
        <v>27943</v>
      </c>
      <c r="E109" s="12" t="s">
        <v>25</v>
      </c>
    </row>
    <row r="110" spans="1:5">
      <c r="A110" s="8">
        <v>109</v>
      </c>
      <c r="B110" s="9" t="s">
        <v>278</v>
      </c>
      <c r="C110" s="9" t="s">
        <v>279</v>
      </c>
      <c r="D110" s="10">
        <v>36097</v>
      </c>
      <c r="E110" s="9" t="s">
        <v>67</v>
      </c>
    </row>
    <row r="111" spans="1:5">
      <c r="A111" s="11">
        <v>110</v>
      </c>
      <c r="B111" s="12" t="s">
        <v>280</v>
      </c>
      <c r="C111" s="12" t="s">
        <v>101</v>
      </c>
      <c r="D111" s="13">
        <v>30013</v>
      </c>
      <c r="E111" s="12" t="s">
        <v>25</v>
      </c>
    </row>
    <row r="112" spans="1:5">
      <c r="A112" s="8">
        <v>111</v>
      </c>
      <c r="B112" s="9" t="s">
        <v>281</v>
      </c>
      <c r="C112" s="9" t="s">
        <v>121</v>
      </c>
      <c r="D112" s="10">
        <v>36099</v>
      </c>
      <c r="E112" s="9" t="s">
        <v>282</v>
      </c>
    </row>
    <row r="113" spans="1:5">
      <c r="A113" s="11">
        <v>112</v>
      </c>
      <c r="B113" s="12" t="s">
        <v>284</v>
      </c>
      <c r="C113" s="12" t="s">
        <v>63</v>
      </c>
      <c r="D113" s="13">
        <v>29619</v>
      </c>
      <c r="E113" s="12" t="s">
        <v>26</v>
      </c>
    </row>
    <row r="114" spans="1:5">
      <c r="A114" s="8">
        <v>113</v>
      </c>
      <c r="B114" s="9" t="s">
        <v>285</v>
      </c>
      <c r="C114" s="9" t="s">
        <v>83</v>
      </c>
      <c r="D114" s="10">
        <v>27220</v>
      </c>
      <c r="E114" s="9" t="s">
        <v>25</v>
      </c>
    </row>
    <row r="115" spans="1:5">
      <c r="A115" s="11">
        <v>114</v>
      </c>
      <c r="B115" s="12" t="s">
        <v>286</v>
      </c>
      <c r="C115" s="12" t="s">
        <v>287</v>
      </c>
      <c r="D115" s="13">
        <v>29058</v>
      </c>
      <c r="E115" s="12" t="s">
        <v>288</v>
      </c>
    </row>
    <row r="116" spans="1:5">
      <c r="A116" s="8">
        <v>115</v>
      </c>
      <c r="B116" s="9" t="s">
        <v>289</v>
      </c>
      <c r="C116" s="9" t="s">
        <v>225</v>
      </c>
      <c r="D116" s="10">
        <v>29561</v>
      </c>
      <c r="E116" s="9" t="s">
        <v>290</v>
      </c>
    </row>
    <row r="117" spans="1:5">
      <c r="A117" s="11">
        <v>116</v>
      </c>
      <c r="B117" s="12" t="s">
        <v>291</v>
      </c>
      <c r="C117" s="12" t="s">
        <v>292</v>
      </c>
      <c r="D117" s="13">
        <v>27165</v>
      </c>
      <c r="E117" s="12" t="s">
        <v>25</v>
      </c>
    </row>
    <row r="118" spans="1:5">
      <c r="A118" s="8">
        <v>117</v>
      </c>
      <c r="B118" s="9" t="s">
        <v>293</v>
      </c>
      <c r="C118" s="9" t="s">
        <v>294</v>
      </c>
      <c r="D118" s="10">
        <v>28733</v>
      </c>
      <c r="E118" s="9" t="s">
        <v>295</v>
      </c>
    </row>
    <row r="119" spans="1:5">
      <c r="A119" s="11">
        <v>118</v>
      </c>
      <c r="B119" s="12" t="s">
        <v>297</v>
      </c>
      <c r="C119" s="12" t="s">
        <v>298</v>
      </c>
      <c r="D119" s="13">
        <v>37120</v>
      </c>
      <c r="E119" s="12" t="s">
        <v>25</v>
      </c>
    </row>
    <row r="120" spans="1:5">
      <c r="A120" s="8">
        <v>119</v>
      </c>
      <c r="B120" s="9" t="s">
        <v>301</v>
      </c>
      <c r="C120" s="9" t="s">
        <v>302</v>
      </c>
      <c r="D120" s="10">
        <v>35967</v>
      </c>
      <c r="E120" s="9" t="s">
        <v>303</v>
      </c>
    </row>
    <row r="121" spans="1:5">
      <c r="A121" s="11">
        <v>120</v>
      </c>
      <c r="B121" s="12" t="s">
        <v>304</v>
      </c>
      <c r="C121" s="12" t="s">
        <v>302</v>
      </c>
      <c r="D121" s="13">
        <v>34341</v>
      </c>
      <c r="E121" s="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2026-01-24T06:50:39Z</dcterms:created>
  <dcterms:modified xsi:type="dcterms:W3CDTF">2026-02-04T11:38:20Z</dcterms:modified>
  <cp:category/>
  <cp:contentStatus/>
</cp:coreProperties>
</file>